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Resource Loading" sheetId="2" state="visible" r:id="rId2"/>
  </sheets>
  <definedNames>
    <definedName name="_xlnm._FilterDatabase" localSheetId="0" hidden="1">'WBS'!$A$5:$H$142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b val="1"/>
      <color rgb="FF0B1412"/>
      <sz val="15"/>
    </font>
    <font>
      <color rgb="FF46564F"/>
      <sz val="10.5"/>
    </font>
    <font>
      <b val="1"/>
      <color rgb="FF0B1412"/>
      <sz val="10"/>
    </font>
    <font>
      <b val="1"/>
      <color rgb="FF0A5F53"/>
      <sz val="11"/>
    </font>
    <font>
      <b val="1"/>
      <color rgb="FF0B1412"/>
      <sz val="11"/>
    </font>
    <font>
      <b val="1"/>
      <color rgb="FF46564F"/>
      <sz val="10"/>
    </font>
    <font>
      <color rgb="FF46564F"/>
      <sz val="10"/>
    </font>
    <font>
      <color rgb="FF0B1412"/>
      <sz val="10.5"/>
    </font>
    <font>
      <b val="1"/>
      <color rgb="FF0A5F53"/>
      <sz val="10"/>
    </font>
    <font>
      <b val="1"/>
      <color rgb="FF8A5A00"/>
      <sz val="10"/>
    </font>
    <font>
      <b val="1"/>
      <color rgb="FF4C5C30"/>
      <sz val="10"/>
    </font>
    <font>
      <b val="1"/>
      <color rgb="FF14508F"/>
      <sz val="10"/>
    </font>
    <font>
      <b val="1"/>
      <color rgb="FF9E4514"/>
      <sz val="10"/>
    </font>
    <font>
      <b val="1"/>
      <color rgb="FF5B3F97"/>
      <sz val="10"/>
    </font>
    <font>
      <i val="1"/>
      <color rgb="FF0B1412"/>
      <sz val="10.5"/>
    </font>
    <font>
      <i val="1"/>
      <color rgb="FF46564F"/>
      <sz val="10"/>
    </font>
    <font>
      <b val="1"/>
      <color rgb="FF0B1412"/>
      <sz val="13"/>
    </font>
    <font>
      <b val="1"/>
      <color rgb="FF0A5F53"/>
      <sz val="10.5"/>
    </font>
    <font>
      <b val="1"/>
      <color rgb="FF9E2A36"/>
      <sz val="10"/>
    </font>
    <font>
      <b val="1"/>
      <color rgb="FF8A5A00"/>
      <sz val="10.5"/>
    </font>
    <font>
      <b val="1"/>
      <color rgb="FF5B3F97"/>
      <sz val="10.5"/>
    </font>
    <font>
      <b val="1"/>
      <color rgb="FF14508F"/>
      <sz val="10.5"/>
    </font>
    <font>
      <b val="1"/>
      <color rgb="FF9E4514"/>
      <sz val="10.5"/>
    </font>
    <font>
      <b val="1"/>
      <color rgb="FF4C5C30"/>
      <sz val="10.5"/>
    </font>
    <font>
      <b val="1"/>
      <color rgb="FF0B1412"/>
    </font>
    <font>
      <b val="1"/>
    </font>
    <font>
      <b val="1"/>
      <i val="1"/>
      <color rgb="FF8A8A8A"/>
      <sz val="11"/>
    </font>
    <font>
      <name val="Calibri"/>
      <family val="2"/>
      <i val="1"/>
      <color rgb="FF8A8A8A"/>
      <sz val="11"/>
      <scheme val="minor"/>
    </font>
    <font>
      <b val="1"/>
      <i val="1"/>
      <color rgb="FF8A8A8A"/>
      <sz val="10"/>
    </font>
    <font>
      <i val="1"/>
      <color rgb="FF8A8A8A"/>
      <sz val="10"/>
    </font>
    <font>
      <i val="1"/>
      <color rgb="FF8A8A8A"/>
      <sz val="10.5"/>
    </font>
  </fonts>
  <fills count="5">
    <fill>
      <patternFill/>
    </fill>
    <fill>
      <patternFill patternType="gray125"/>
    </fill>
    <fill>
      <patternFill patternType="solid">
        <fgColor rgb="FFE6EFEC"/>
      </patternFill>
    </fill>
    <fill>
      <patternFill patternType="solid">
        <fgColor rgb="FFD7E6E1"/>
      </patternFill>
    </fill>
    <fill>
      <patternFill patternType="solid">
        <fgColor rgb="FFF0F5F3"/>
      </patternFill>
    </fill>
  </fills>
  <borders count="3">
    <border>
      <left/>
      <right/>
      <top/>
      <bottom/>
      <diagonal/>
    </border>
    <border>
      <bottom style="medium">
        <color rgb="FF0A5F53"/>
      </bottom>
    </border>
    <border>
      <bottom style="thin">
        <color rgb="FFDCE4E1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3" borderId="2" pivotButton="0" quotePrefix="0" xfId="0"/>
    <xf numFmtId="0" fontId="5" fillId="3" borderId="2" pivotButton="0" quotePrefix="0" xfId="0"/>
    <xf numFmtId="0" fontId="0" fillId="3" borderId="2" pivotButton="0" quotePrefix="0" xfId="0"/>
    <xf numFmtId="0" fontId="6" fillId="4" borderId="2" pivotButton="0" quotePrefix="0" xfId="0"/>
    <xf numFmtId="0" fontId="0" fillId="4" borderId="2" pivotButton="0" quotePrefix="0" xfId="0"/>
    <xf numFmtId="0" fontId="7" fillId="0" borderId="2" pivotButton="0" quotePrefix="0" xfId="0"/>
    <xf numFmtId="0" fontId="8" fillId="0" borderId="2" pivotButton="0" quotePrefix="0" xfId="0"/>
    <xf numFmtId="0" fontId="0" fillId="0" borderId="2" pivotButton="0" quotePrefix="0" xfId="0"/>
    <xf numFmtId="0" fontId="9" fillId="0" borderId="2" pivotButton="0" quotePrefix="0" xfId="0"/>
    <xf numFmtId="0" fontId="0" fillId="0" borderId="2" applyAlignment="1" pivotButton="0" quotePrefix="0" xfId="0">
      <alignment vertical="top" wrapText="1"/>
    </xf>
    <xf numFmtId="0" fontId="6" fillId="0" borderId="2" pivotButton="0" quotePrefix="0" xfId="0"/>
    <xf numFmtId="0" fontId="10" fillId="0" borderId="2" pivotButton="0" quotePrefix="0" xfId="0"/>
    <xf numFmtId="0" fontId="11" fillId="0" borderId="2" pivotButton="0" quotePrefix="0" xfId="0"/>
    <xf numFmtId="0" fontId="12" fillId="0" borderId="2" pivotButton="0" quotePrefix="0" xfId="0"/>
    <xf numFmtId="0" fontId="13" fillId="0" borderId="2" pivotButton="0" quotePrefix="0" xfId="0"/>
    <xf numFmtId="0" fontId="14" fillId="0" borderId="2" pivotButton="0" quotePrefix="0" xfId="0"/>
    <xf numFmtId="0" fontId="15" fillId="0" borderId="2" pivotButton="0" quotePrefix="0" xfId="0"/>
    <xf numFmtId="0" fontId="5" fillId="0" borderId="0" pivotButton="0" quotePrefix="0" xfId="0"/>
    <xf numFmtId="0" fontId="4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3" fillId="2" borderId="1" pivotButton="0" quotePrefix="0" xfId="0"/>
    <xf numFmtId="0" fontId="18" fillId="0" borderId="2" pivotButton="0" quotePrefix="0" xfId="0"/>
    <xf numFmtId="9" fontId="0" fillId="0" borderId="2" pivotButton="0" quotePrefix="0" xfId="0"/>
    <xf numFmtId="0" fontId="19" fillId="0" borderId="2" pivotButton="0" quotePrefix="0" xfId="0"/>
    <xf numFmtId="0" fontId="20" fillId="0" borderId="2" pivotButton="0" quotePrefix="0" xfId="0"/>
    <xf numFmtId="0" fontId="21" fillId="0" borderId="2" pivotButton="0" quotePrefix="0" xfId="0"/>
    <xf numFmtId="0" fontId="22" fillId="0" borderId="2" pivotButton="0" quotePrefix="0" xfId="0"/>
    <xf numFmtId="0" fontId="23" fillId="0" borderId="2" pivotButton="0" quotePrefix="0" xfId="0"/>
    <xf numFmtId="0" fontId="24" fillId="0" borderId="2" pivotButton="0" quotePrefix="0" xfId="0"/>
    <xf numFmtId="0" fontId="25" fillId="0" borderId="0" pivotButton="0" quotePrefix="0" xfId="0"/>
    <xf numFmtId="0" fontId="26" fillId="0" borderId="0" pivotButton="0" quotePrefix="0" xfId="0"/>
    <xf numFmtId="9" fontId="0" fillId="0" borderId="0" pivotButton="0" quotePrefix="0" xfId="0"/>
    <xf numFmtId="0" fontId="7" fillId="0" borderId="0" pivotButton="0" quotePrefix="0" xfId="0"/>
    <xf numFmtId="0" fontId="27" fillId="3" borderId="2" pivotButton="0" quotePrefix="0" xfId="0"/>
    <xf numFmtId="0" fontId="28" fillId="3" borderId="2" pivotButton="0" quotePrefix="0" xfId="0"/>
    <xf numFmtId="0" fontId="29" fillId="4" borderId="2" pivotButton="0" quotePrefix="0" xfId="0"/>
    <xf numFmtId="0" fontId="28" fillId="4" borderId="2" pivotButton="0" quotePrefix="0" xfId="0"/>
    <xf numFmtId="0" fontId="30" fillId="0" borderId="2" pivotButton="0" quotePrefix="0" xfId="0"/>
    <xf numFmtId="0" fontId="31" fillId="0" borderId="2" pivotButton="0" quotePrefix="0" xfId="0"/>
    <xf numFmtId="0" fontId="28" fillId="0" borderId="2" pivotButton="0" quotePrefix="0" xfId="0"/>
    <xf numFmtId="0" fontId="29" fillId="0" borderId="2" pivotButton="0" quotePrefix="0" xfId="0"/>
    <xf numFmtId="0" fontId="28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H1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54" customWidth="1" min="2" max="2"/>
    <col width="5" customWidth="1" min="3" max="3"/>
    <col width="22" customWidth="1" min="4" max="4"/>
    <col width="11" customWidth="1" min="5" max="5"/>
    <col width="62" customWidth="1" min="6" max="6"/>
    <col width="13" customWidth="1" min="7" max="7"/>
    <col width="9" customWidth="1" min="8" max="8"/>
  </cols>
  <sheetData>
    <row r="1">
      <c r="A1" s="1" t="inlineStr">
        <is>
          <t>Carbon Removal Verification Registry (CRVR) — Work Breakdown Structure</t>
        </is>
      </c>
    </row>
    <row r="2">
      <c r="A2" s="2" t="inlineStr">
        <is>
          <t>ITCS514 Software Project Management · Group 1 · Charter v2.00</t>
        </is>
      </c>
    </row>
    <row r="3">
      <c r="A3" s="2" t="inlineStr">
        <is>
          <t>Deliverable-based. 11 branches → 41 groups → 85 work packages → 301 person-days. Level 3 rows are the work packages: the unit that is estimated, owned and scheduled. Satellite monitoring (6.0) and the inter-registry hook (9.4) are deferred — designed, not built this term — and carry 0 pd (24 pd removed from the 325 pd full plan).</t>
        </is>
      </c>
    </row>
    <row r="5">
      <c r="A5" s="3" t="inlineStr">
        <is>
          <t>WBS</t>
        </is>
      </c>
      <c r="B5" s="3" t="inlineStr">
        <is>
          <t>Work Package</t>
        </is>
      </c>
      <c r="C5" s="3" t="inlineStr">
        <is>
          <t>Lvl</t>
        </is>
      </c>
      <c r="D5" s="3" t="inlineStr">
        <is>
          <t>Owner</t>
        </is>
      </c>
      <c r="E5" s="3" t="inlineStr">
        <is>
          <t>Effort (pd)</t>
        </is>
      </c>
      <c r="F5" s="3" t="inlineStr">
        <is>
          <t>Acceptance Criteria</t>
        </is>
      </c>
      <c r="G5" s="3" t="inlineStr">
        <is>
          <t>Charter ref</t>
        </is>
      </c>
      <c r="H5" s="3" t="inlineStr">
        <is>
          <t>Activity</t>
        </is>
      </c>
    </row>
    <row r="6">
      <c r="A6" s="4" t="inlineStr">
        <is>
          <t>1.0</t>
        </is>
      </c>
      <c r="B6" s="5" t="inlineStr">
        <is>
          <t>Project Management</t>
        </is>
      </c>
      <c r="C6" s="6" t="n">
        <v>1</v>
      </c>
      <c r="D6" s="6" t="n"/>
      <c r="E6" s="5" t="n">
        <v>40</v>
      </c>
      <c r="F6" s="6" t="n"/>
      <c r="G6" s="6" t="inlineStr"/>
      <c r="H6" s="6" t="n"/>
    </row>
    <row r="7" outlineLevel="1">
      <c r="A7" s="7" t="inlineStr">
        <is>
          <t>1.1</t>
        </is>
      </c>
      <c r="B7" s="7" t="inlineStr">
        <is>
          <t xml:space="preserve">  Initiation</t>
        </is>
      </c>
      <c r="C7" s="8" t="n">
        <v>2</v>
      </c>
      <c r="D7" s="8" t="n"/>
      <c r="E7" s="7" t="n">
        <v>5</v>
      </c>
      <c r="F7" s="8" t="n"/>
      <c r="G7" s="8" t="n"/>
      <c r="H7" s="8" t="n"/>
    </row>
    <row r="8" outlineLevel="2">
      <c r="A8" s="9" t="inlineStr">
        <is>
          <t>1.1.1</t>
        </is>
      </c>
      <c r="B8" s="10" t="inlineStr">
        <is>
          <t xml:space="preserve">    Project charter &amp; stakeholder register</t>
        </is>
      </c>
      <c r="C8" s="11" t="n">
        <v>3</v>
      </c>
      <c r="D8" s="12" t="inlineStr">
        <is>
          <t>Project Manager</t>
        </is>
      </c>
      <c r="E8" s="11" t="n">
        <v>5</v>
      </c>
      <c r="F8" s="13" t="inlineStr">
        <is>
          <t>Charter signed by Sponsor; 11 stakeholders registered with engagement approach</t>
        </is>
      </c>
      <c r="G8" s="11" t="n"/>
      <c r="H8" s="11" t="inlineStr">
        <is>
          <t>PM1</t>
        </is>
      </c>
    </row>
    <row r="9" outlineLevel="1">
      <c r="A9" s="7" t="inlineStr">
        <is>
          <t>1.2</t>
        </is>
      </c>
      <c r="B9" s="7" t="inlineStr">
        <is>
          <t xml:space="preserve">  Planning</t>
        </is>
      </c>
      <c r="C9" s="8" t="n">
        <v>2</v>
      </c>
      <c r="D9" s="8" t="n"/>
      <c r="E9" s="7" t="n">
        <v>11</v>
      </c>
      <c r="F9" s="8" t="n"/>
      <c r="G9" s="8" t="n"/>
      <c r="H9" s="8" t="n"/>
    </row>
    <row r="10" outlineLevel="2">
      <c r="A10" s="9" t="inlineStr">
        <is>
          <t>1.2.1</t>
        </is>
      </c>
      <c r="B10" s="10" t="inlineStr">
        <is>
          <t xml:space="preserve">    WBS &amp; schedule baseline</t>
        </is>
      </c>
      <c r="C10" s="11" t="n">
        <v>3</v>
      </c>
      <c r="D10" s="12" t="inlineStr">
        <is>
          <t>Project Manager</t>
        </is>
      </c>
      <c r="E10" s="11" t="n">
        <v>4</v>
      </c>
      <c r="F10" s="13" t="inlineStr">
        <is>
          <t>WBS passes 100% rule check; baseline Gantt with critical path identified</t>
        </is>
      </c>
      <c r="G10" s="11" t="n"/>
      <c r="H10" s="11" t="inlineStr">
        <is>
          <t>B</t>
        </is>
      </c>
    </row>
    <row r="11" outlineLevel="2">
      <c r="A11" s="9" t="inlineStr">
        <is>
          <t>1.2.2</t>
        </is>
      </c>
      <c r="B11" s="10" t="inlineStr">
        <is>
          <t xml:space="preserve">    Risk register</t>
        </is>
      </c>
      <c r="C11" s="11" t="n">
        <v>3</v>
      </c>
      <c r="D11" s="12" t="inlineStr">
        <is>
          <t>Project Manager</t>
        </is>
      </c>
      <c r="E11" s="11" t="n">
        <v>3</v>
      </c>
      <c r="F11" s="13" t="inlineStr">
        <is>
          <t>All risks scored, owned, with response strategy and trigger</t>
        </is>
      </c>
      <c r="G11" s="11" t="n"/>
      <c r="H11" s="11" t="inlineStr">
        <is>
          <t>BC</t>
        </is>
      </c>
    </row>
    <row r="12" outlineLevel="2">
      <c r="A12" s="9" t="inlineStr">
        <is>
          <t>1.2.3</t>
        </is>
      </c>
      <c r="B12" s="10" t="inlineStr">
        <is>
          <t xml:space="preserve">    Cost estimate &amp; budget proposal</t>
        </is>
      </c>
      <c r="C12" s="11" t="n">
        <v>3</v>
      </c>
      <c r="D12" s="12" t="inlineStr">
        <is>
          <t>Project Manager</t>
        </is>
      </c>
      <c r="E12" s="11" t="n">
        <v>4</v>
      </c>
      <c r="F12" s="13" t="inlineStr">
        <is>
          <t>Board-ready budget covering all Charter §8.2 cost categories</t>
        </is>
      </c>
      <c r="G12" s="11" t="n"/>
      <c r="H12" s="11" t="inlineStr">
        <is>
          <t>BC</t>
        </is>
      </c>
    </row>
    <row r="13" outlineLevel="1">
      <c r="A13" s="7" t="inlineStr">
        <is>
          <t>1.3</t>
        </is>
      </c>
      <c r="B13" s="7" t="inlineStr">
        <is>
          <t xml:space="preserve">  Monitoring &amp; Control</t>
        </is>
      </c>
      <c r="C13" s="8" t="n">
        <v>2</v>
      </c>
      <c r="D13" s="8" t="n"/>
      <c r="E13" s="7" t="n">
        <v>8</v>
      </c>
      <c r="F13" s="8" t="n"/>
      <c r="G13" s="8" t="n"/>
      <c r="H13" s="8" t="n"/>
    </row>
    <row r="14" outlineLevel="2">
      <c r="A14" s="9" t="inlineStr">
        <is>
          <t>1.3.1</t>
        </is>
      </c>
      <c r="B14" s="10" t="inlineStr">
        <is>
          <t xml:space="preserve">    Weekly reporting &amp; change control</t>
        </is>
      </c>
      <c r="C14" s="11" t="n">
        <v>3</v>
      </c>
      <c r="D14" s="12" t="inlineStr">
        <is>
          <t>Project Manager</t>
        </is>
      </c>
      <c r="E14" s="11" t="n">
        <v>8</v>
      </c>
      <c r="F14" s="13" t="inlineStr">
        <is>
          <t>Weekly status report issued Wk 0–14; change log maintained per §9.5</t>
        </is>
      </c>
      <c r="G14" s="11" t="n"/>
      <c r="H14" s="11" t="inlineStr">
        <is>
          <t>PM1</t>
        </is>
      </c>
    </row>
    <row r="15" outlineLevel="1">
      <c r="A15" s="7" t="inlineStr">
        <is>
          <t>1.4</t>
        </is>
      </c>
      <c r="B15" s="7" t="inlineStr">
        <is>
          <t xml:space="preserve">  Closure</t>
        </is>
      </c>
      <c r="C15" s="8" t="n">
        <v>2</v>
      </c>
      <c r="D15" s="8" t="n"/>
      <c r="E15" s="7" t="n">
        <v>4</v>
      </c>
      <c r="F15" s="8" t="n"/>
      <c r="G15" s="8" t="n"/>
      <c r="H15" s="8" t="n"/>
    </row>
    <row r="16" outlineLevel="2">
      <c r="A16" s="9" t="inlineStr">
        <is>
          <t>1.4.1</t>
        </is>
      </c>
      <c r="B16" s="10" t="inlineStr">
        <is>
          <t xml:space="preserve">    Closure report &amp; lessons learned</t>
        </is>
      </c>
      <c r="C16" s="11" t="n">
        <v>3</v>
      </c>
      <c r="D16" s="12" t="inlineStr">
        <is>
          <t>Project Manager</t>
        </is>
      </c>
      <c r="E16" s="11" t="n">
        <v>4</v>
      </c>
      <c r="F16" s="13" t="inlineStr">
        <is>
          <t>Closure report accepted by Sponsor</t>
        </is>
      </c>
      <c r="G16" s="11" t="n"/>
      <c r="H16" s="11" t="inlineStr">
        <is>
          <t>AG</t>
        </is>
      </c>
    </row>
    <row r="17" outlineLevel="1">
      <c r="A17" s="7" t="inlineStr">
        <is>
          <t>1.5</t>
        </is>
      </c>
      <c r="B17" s="7" t="inlineStr">
        <is>
          <t xml:space="preserve">  Agile Ceremonies</t>
        </is>
      </c>
      <c r="C17" s="8" t="n">
        <v>2</v>
      </c>
      <c r="D17" s="8" t="n"/>
      <c r="E17" s="7" t="n">
        <v>12</v>
      </c>
      <c r="F17" s="8" t="n"/>
      <c r="G17" s="8" t="n"/>
      <c r="H17" s="8" t="n"/>
    </row>
    <row r="18" outlineLevel="2">
      <c r="A18" s="9" t="inlineStr">
        <is>
          <t>1.5.1</t>
        </is>
      </c>
      <c r="B18" s="10" t="inlineStr">
        <is>
          <t xml:space="preserve">    Sprint planning &amp; backlog refinement</t>
        </is>
      </c>
      <c r="C18" s="11" t="n">
        <v>3</v>
      </c>
      <c r="D18" s="12" t="inlineStr">
        <is>
          <t>Project Manager</t>
        </is>
      </c>
      <c r="E18" s="11" t="n">
        <v>4</v>
      </c>
      <c r="F18" s="13" t="inlineStr">
        <is>
          <t>Sprint goal and committed backlog recorded for every sprint</t>
        </is>
      </c>
      <c r="G18" s="11" t="n"/>
      <c r="H18" s="11" t="inlineStr">
        <is>
          <t>CER</t>
        </is>
      </c>
    </row>
    <row r="19" outlineLevel="2">
      <c r="A19" s="9" t="inlineStr">
        <is>
          <t>1.5.2</t>
        </is>
      </c>
      <c r="B19" s="10" t="inlineStr">
        <is>
          <t xml:space="preserve">    Daily stand-ups</t>
        </is>
      </c>
      <c r="C19" s="11" t="n">
        <v>3</v>
      </c>
      <c r="D19" s="14" t="inlineStr">
        <is>
          <t>Shared — whole team</t>
        </is>
      </c>
      <c r="E19" s="11" t="n">
        <v>3</v>
      </c>
      <c r="F19" s="13" t="inlineStr">
        <is>
          <t>Stand-up held each working day; blockers logged and owned</t>
        </is>
      </c>
      <c r="G19" s="11" t="n"/>
      <c r="H19" s="11" t="inlineStr">
        <is>
          <t>CER</t>
        </is>
      </c>
    </row>
    <row r="20" outlineLevel="2">
      <c r="A20" s="9" t="inlineStr">
        <is>
          <t>1.5.3</t>
        </is>
      </c>
      <c r="B20" s="10" t="inlineStr">
        <is>
          <t xml:space="preserve">    Sprint review &amp; demo</t>
        </is>
      </c>
      <c r="C20" s="11" t="n">
        <v>3</v>
      </c>
      <c r="D20" s="14" t="inlineStr">
        <is>
          <t>Shared — whole team</t>
        </is>
      </c>
      <c r="E20" s="11" t="n">
        <v>3</v>
      </c>
      <c r="F20" s="13" t="inlineStr">
        <is>
          <t>Working software demonstrated to Sponsor at the end of every sprint</t>
        </is>
      </c>
      <c r="G20" s="11" t="n"/>
      <c r="H20" s="11" t="inlineStr">
        <is>
          <t>CER</t>
        </is>
      </c>
    </row>
    <row r="21" outlineLevel="2">
      <c r="A21" s="9" t="inlineStr">
        <is>
          <t>1.5.4</t>
        </is>
      </c>
      <c r="B21" s="10" t="inlineStr">
        <is>
          <t xml:space="preserve">    Sprint retrospective</t>
        </is>
      </c>
      <c r="C21" s="11" t="n">
        <v>3</v>
      </c>
      <c r="D21" s="12" t="inlineStr">
        <is>
          <t>Project Manager</t>
        </is>
      </c>
      <c r="E21" s="11" t="n">
        <v>2</v>
      </c>
      <c r="F21" s="13" t="inlineStr">
        <is>
          <t>Retrospective held per sprint with agreed actions carried forward</t>
        </is>
      </c>
      <c r="G21" s="11" t="n"/>
      <c r="H21" s="11" t="inlineStr">
        <is>
          <t>CER</t>
        </is>
      </c>
    </row>
    <row r="22">
      <c r="A22" s="4" t="inlineStr">
        <is>
          <t>2.0</t>
        </is>
      </c>
      <c r="B22" s="5" t="inlineStr">
        <is>
          <t>Requirements &amp; Analysis</t>
        </is>
      </c>
      <c r="C22" s="6" t="n">
        <v>1</v>
      </c>
      <c r="D22" s="6" t="n"/>
      <c r="E22" s="5" t="n">
        <v>23</v>
      </c>
      <c r="F22" s="6" t="n"/>
      <c r="G22" s="6" t="inlineStr">
        <is>
          <t>FR-01…FR-11</t>
        </is>
      </c>
      <c r="H22" s="6" t="n"/>
    </row>
    <row r="23" outlineLevel="1">
      <c r="A23" s="7" t="inlineStr">
        <is>
          <t>2.1</t>
        </is>
      </c>
      <c r="B23" s="7" t="inlineStr">
        <is>
          <t xml:space="preserve">  Elicitation &amp; Analysis</t>
        </is>
      </c>
      <c r="C23" s="8" t="n">
        <v>2</v>
      </c>
      <c r="D23" s="8" t="n"/>
      <c r="E23" s="7" t="n">
        <v>7</v>
      </c>
      <c r="F23" s="8" t="n"/>
      <c r="G23" s="8" t="n"/>
      <c r="H23" s="8" t="n"/>
    </row>
    <row r="24" outlineLevel="2">
      <c r="A24" s="9" t="inlineStr">
        <is>
          <t>2.1.1</t>
        </is>
      </c>
      <c r="B24" s="10" t="inlineStr">
        <is>
          <t xml:space="preserve">    Stakeholder requirements workshops</t>
        </is>
      </c>
      <c r="C24" s="11" t="n">
        <v>3</v>
      </c>
      <c r="D24" s="15" t="inlineStr">
        <is>
          <t>Business Analyst</t>
        </is>
      </c>
      <c r="E24" s="11" t="n">
        <v>4</v>
      </c>
      <c r="F24" s="13" t="inlineStr">
        <is>
          <t>Workshops held with all 5 user-facing stakeholder groups; raw requirements logged</t>
        </is>
      </c>
      <c r="G24" s="11" t="n"/>
      <c r="H24" s="11" t="inlineStr">
        <is>
          <t>RQ</t>
        </is>
      </c>
    </row>
    <row r="25" outlineLevel="2">
      <c r="A25" s="9" t="inlineStr">
        <is>
          <t>2.1.2</t>
        </is>
      </c>
      <c r="B25" s="10" t="inlineStr">
        <is>
          <t xml:space="preserve">    As-is verification process &amp; gap analysis</t>
        </is>
      </c>
      <c r="C25" s="11" t="n">
        <v>3</v>
      </c>
      <c r="D25" s="15" t="inlineStr">
        <is>
          <t>Business Analyst</t>
        </is>
      </c>
      <c r="E25" s="11" t="n">
        <v>3</v>
      </c>
      <c r="F25" s="13" t="inlineStr">
        <is>
          <t>As-is process documented; gaps mapped to Charter objectives 1–6</t>
        </is>
      </c>
      <c r="G25" s="11" t="n"/>
      <c r="H25" s="11" t="inlineStr">
        <is>
          <t>RQ</t>
        </is>
      </c>
    </row>
    <row r="26" outlineLevel="1">
      <c r="A26" s="7" t="inlineStr">
        <is>
          <t>2.2</t>
        </is>
      </c>
      <c r="B26" s="7" t="inlineStr">
        <is>
          <t xml:space="preserve">  Requirements Specification</t>
        </is>
      </c>
      <c r="C26" s="8" t="n">
        <v>2</v>
      </c>
      <c r="D26" s="8" t="n"/>
      <c r="E26" s="7" t="n">
        <v>8</v>
      </c>
      <c r="F26" s="8" t="n"/>
      <c r="G26" s="8" t="n"/>
      <c r="H26" s="8" t="n"/>
    </row>
    <row r="27" outlineLevel="2">
      <c r="A27" s="9" t="inlineStr">
        <is>
          <t>2.2.1</t>
        </is>
      </c>
      <c r="B27" s="10" t="inlineStr">
        <is>
          <t xml:space="preserve">    Functional requirements specification (FR-01…FR-11)</t>
        </is>
      </c>
      <c r="C27" s="11" t="n">
        <v>3</v>
      </c>
      <c r="D27" s="15" t="inlineStr">
        <is>
          <t>Business Analyst</t>
        </is>
      </c>
      <c r="E27" s="11" t="n">
        <v>4</v>
      </c>
      <c r="F27" s="13" t="inlineStr">
        <is>
          <t>Every charter functional requirement specified and testable</t>
        </is>
      </c>
      <c r="G27" s="11" t="n"/>
      <c r="H27" s="11" t="inlineStr">
        <is>
          <t>RS</t>
        </is>
      </c>
    </row>
    <row r="28" outlineLevel="2">
      <c r="A28" s="9" t="inlineStr">
        <is>
          <t>2.2.2</t>
        </is>
      </c>
      <c r="B28" s="10" t="inlineStr">
        <is>
          <t xml:space="preserve">    Non-functional, security &amp; integration requirements</t>
        </is>
      </c>
      <c r="C28" s="11" t="n">
        <v>3</v>
      </c>
      <c r="D28" s="15" t="inlineStr">
        <is>
          <t>Business Analyst</t>
        </is>
      </c>
      <c r="E28" s="11" t="n">
        <v>2</v>
      </c>
      <c r="F28" s="13" t="inlineStr">
        <is>
          <t>NFR, security and integration requirements specified per Charter §4.2–4.4</t>
        </is>
      </c>
      <c r="G28" s="11" t="n"/>
      <c r="H28" s="11" t="inlineStr">
        <is>
          <t>RS</t>
        </is>
      </c>
    </row>
    <row r="29" outlineLevel="2">
      <c r="A29" s="9" t="inlineStr">
        <is>
          <t>2.2.3</t>
        </is>
      </c>
      <c r="B29" s="10" t="inlineStr">
        <is>
          <t xml:space="preserve">    User stories &amp; acceptance criteria</t>
        </is>
      </c>
      <c r="C29" s="11" t="n">
        <v>3</v>
      </c>
      <c r="D29" s="15" t="inlineStr">
        <is>
          <t>Business Analyst</t>
        </is>
      </c>
      <c r="E29" s="11" t="n">
        <v>2</v>
      </c>
      <c r="F29" s="13" t="inlineStr">
        <is>
          <t>Backlog written as stories with acceptance criteria, ready for Sprint 1 planning</t>
        </is>
      </c>
      <c r="G29" s="11" t="n"/>
      <c r="H29" s="11" t="inlineStr">
        <is>
          <t>RS</t>
        </is>
      </c>
    </row>
    <row r="30" outlineLevel="1">
      <c r="A30" s="7" t="inlineStr">
        <is>
          <t>2.3</t>
        </is>
      </c>
      <c r="B30" s="7" t="inlineStr">
        <is>
          <t xml:space="preserve">  Validation &amp; Traceability</t>
        </is>
      </c>
      <c r="C30" s="8" t="n">
        <v>2</v>
      </c>
      <c r="D30" s="8" t="n"/>
      <c r="E30" s="7" t="n">
        <v>3</v>
      </c>
      <c r="F30" s="8" t="n"/>
      <c r="G30" s="8" t="n"/>
      <c r="H30" s="8" t="n"/>
    </row>
    <row r="31" outlineLevel="2">
      <c r="A31" s="9" t="inlineStr">
        <is>
          <t>2.3.1</t>
        </is>
      </c>
      <c r="B31" s="10" t="inlineStr">
        <is>
          <t xml:space="preserve">    Requirements traceability matrix</t>
        </is>
      </c>
      <c r="C31" s="11" t="n">
        <v>3</v>
      </c>
      <c r="D31" s="15" t="inlineStr">
        <is>
          <t>Business Analyst</t>
        </is>
      </c>
      <c r="E31" s="11" t="n">
        <v>2</v>
      </c>
      <c r="F31" s="13" t="inlineStr">
        <is>
          <t>100% of charter FRs and in-scope boundaries traced to a WBS package and a test case</t>
        </is>
      </c>
      <c r="G31" s="11" t="n"/>
      <c r="H31" s="11" t="inlineStr">
        <is>
          <t>RV</t>
        </is>
      </c>
    </row>
    <row r="32" outlineLevel="2">
      <c r="A32" s="9" t="inlineStr">
        <is>
          <t>2.3.2</t>
        </is>
      </c>
      <c r="B32" s="10" t="inlineStr">
        <is>
          <t xml:space="preserve">    Requirements baseline &amp; sign-off</t>
        </is>
      </c>
      <c r="C32" s="11" t="n">
        <v>3</v>
      </c>
      <c r="D32" s="15" t="inlineStr">
        <is>
          <t>Business Analyst</t>
        </is>
      </c>
      <c r="E32" s="11" t="n">
        <v>1</v>
      </c>
      <c r="F32" s="13" t="inlineStr">
        <is>
          <t>Requirements baseline signed off by Sponsor before scope lock</t>
        </is>
      </c>
      <c r="G32" s="11" t="n"/>
      <c r="H32" s="11" t="inlineStr">
        <is>
          <t>RV</t>
        </is>
      </c>
    </row>
    <row r="33" outlineLevel="1">
      <c r="A33" s="7" t="inlineStr">
        <is>
          <t>2.4</t>
        </is>
      </c>
      <c r="B33" s="7" t="inlineStr">
        <is>
          <t xml:space="preserve">  Requirements Change Control</t>
        </is>
      </c>
      <c r="C33" s="8" t="n">
        <v>2</v>
      </c>
      <c r="D33" s="8" t="n"/>
      <c r="E33" s="7" t="n">
        <v>5</v>
      </c>
      <c r="F33" s="8" t="n"/>
      <c r="G33" s="8" t="n"/>
      <c r="H33" s="8" t="n"/>
    </row>
    <row r="34" outlineLevel="2">
      <c r="A34" s="9" t="inlineStr">
        <is>
          <t>2.4.1</t>
        </is>
      </c>
      <c r="B34" s="10" t="inlineStr">
        <is>
          <t xml:space="preserve">    Change-request analysis &amp; impact assessment</t>
        </is>
      </c>
      <c r="C34" s="11" t="n">
        <v>3</v>
      </c>
      <c r="D34" s="15" t="inlineStr">
        <is>
          <t>Business Analyst</t>
        </is>
      </c>
      <c r="E34" s="11" t="n">
        <v>5</v>
      </c>
      <c r="F34" s="13" t="inlineStr">
        <is>
          <t>Every post-lock change request analysed and dispositioned: in-sprint, deferred to buffer, or rejected</t>
        </is>
      </c>
      <c r="G34" s="11" t="n"/>
      <c r="H34" s="11" t="inlineStr">
        <is>
          <t>RC</t>
        </is>
      </c>
    </row>
    <row r="35">
      <c r="A35" s="4" t="inlineStr">
        <is>
          <t>3.0</t>
        </is>
      </c>
      <c r="B35" s="5" t="inlineStr">
        <is>
          <t>Design &amp; Architecture</t>
        </is>
      </c>
      <c r="C35" s="6" t="n">
        <v>1</v>
      </c>
      <c r="D35" s="6" t="n"/>
      <c r="E35" s="5" t="n">
        <v>36</v>
      </c>
      <c r="F35" s="6" t="n"/>
      <c r="G35" s="6" t="inlineStr"/>
      <c r="H35" s="6" t="n"/>
    </row>
    <row r="36" outlineLevel="1">
      <c r="A36" s="7" t="inlineStr">
        <is>
          <t>3.1</t>
        </is>
      </c>
      <c r="B36" s="7" t="inlineStr">
        <is>
          <t xml:space="preserve">  Feasibility Spikes</t>
        </is>
      </c>
      <c r="C36" s="8" t="n">
        <v>2</v>
      </c>
      <c r="D36" s="8" t="n"/>
      <c r="E36" s="7" t="n">
        <v>10</v>
      </c>
      <c r="F36" s="8" t="n"/>
      <c r="G36" s="8" t="n"/>
      <c r="H36" s="8" t="n"/>
    </row>
    <row r="37" outlineLevel="2">
      <c r="A37" s="9" t="inlineStr">
        <is>
          <t>3.1.1</t>
        </is>
      </c>
      <c r="B37" s="10" t="inlineStr">
        <is>
          <t xml:space="preserve">    Satellite data provider spike</t>
        </is>
      </c>
      <c r="C37" s="11" t="n">
        <v>3</v>
      </c>
      <c r="D37" s="16" t="inlineStr">
        <is>
          <t>Infrastructure / DevOps</t>
        </is>
      </c>
      <c r="E37" s="11" t="n">
        <v>5</v>
      </c>
      <c r="F37" s="13" t="inlineStr">
        <is>
          <t>Provider selected; cost, revisit cadence and resolution documented; feasibility confirmed. Outcome: commercial imagery subscription not procurable this term → FR-05 build deferred (6.0)</t>
        </is>
      </c>
      <c r="G37" s="11" t="n"/>
      <c r="H37" s="11" t="inlineStr">
        <is>
          <t>C</t>
        </is>
      </c>
    </row>
    <row r="38" outlineLevel="2">
      <c r="A38" s="9" t="inlineStr">
        <is>
          <t>3.1.2</t>
        </is>
      </c>
      <c r="B38" s="10" t="inlineStr">
        <is>
          <t xml:space="preserve">    Geospatial / PostGIS spike</t>
        </is>
      </c>
      <c r="C38" s="11" t="n">
        <v>3</v>
      </c>
      <c r="D38" s="17" t="inlineStr">
        <is>
          <t>Full-stack Dev ×4</t>
        </is>
      </c>
      <c r="E38" s="11" t="n">
        <v>5</v>
      </c>
      <c r="F38" s="13" t="inlineStr">
        <is>
          <t>Spatial intersection proven on sample boundaries; performance benchmarked</t>
        </is>
      </c>
      <c r="G38" s="11" t="n"/>
      <c r="H38" s="11" t="inlineStr">
        <is>
          <t>D</t>
        </is>
      </c>
    </row>
    <row r="39" outlineLevel="1">
      <c r="A39" s="7" t="inlineStr">
        <is>
          <t>3.2</t>
        </is>
      </c>
      <c r="B39" s="7" t="inlineStr">
        <is>
          <t xml:space="preserve">  System Architecture</t>
        </is>
      </c>
      <c r="C39" s="8" t="n">
        <v>2</v>
      </c>
      <c r="D39" s="8" t="n"/>
      <c r="E39" s="7" t="n">
        <v>12</v>
      </c>
      <c r="F39" s="8" t="n"/>
      <c r="G39" s="8" t="n"/>
      <c r="H39" s="8" t="n"/>
    </row>
    <row r="40" outlineLevel="2">
      <c r="A40" s="9" t="inlineStr">
        <is>
          <t>3.2.1</t>
        </is>
      </c>
      <c r="B40" s="10" t="inlineStr">
        <is>
          <t xml:space="preserve">    Architecture &amp; integration design</t>
        </is>
      </c>
      <c r="C40" s="11" t="n">
        <v>3</v>
      </c>
      <c r="D40" s="16" t="inlineStr">
        <is>
          <t>Infrastructure / DevOps</t>
        </is>
      </c>
      <c r="E40" s="11" t="n">
        <v>5</v>
      </c>
      <c r="F40" s="13" t="inlineStr">
        <is>
          <t>Architecture document approved at Week 3 design review</t>
        </is>
      </c>
      <c r="G40" s="11" t="n"/>
      <c r="H40" s="11" t="inlineStr">
        <is>
          <t>G</t>
        </is>
      </c>
    </row>
    <row r="41" outlineLevel="2">
      <c r="A41" s="9" t="inlineStr">
        <is>
          <t>3.2.2</t>
        </is>
      </c>
      <c r="B41" s="10" t="inlineStr">
        <is>
          <t xml:space="preserve">    Data model &amp; access-control matrix</t>
        </is>
      </c>
      <c r="C41" s="11" t="n">
        <v>3</v>
      </c>
      <c r="D41" s="17" t="inlineStr">
        <is>
          <t>Full-stack Dev ×4</t>
        </is>
      </c>
      <c r="E41" s="11" t="n">
        <v>4</v>
      </c>
      <c r="F41" s="13" t="inlineStr">
        <is>
          <t>6 roles × permissions matrix signed off; ERD complete</t>
        </is>
      </c>
      <c r="G41" s="11" t="n"/>
      <c r="H41" s="11" t="inlineStr">
        <is>
          <t>G</t>
        </is>
      </c>
    </row>
    <row r="42" outlineLevel="2">
      <c r="A42" s="9" t="inlineStr">
        <is>
          <t>3.2.3</t>
        </is>
      </c>
      <c r="B42" s="10" t="inlineStr">
        <is>
          <t xml:space="preserve">    Ledger + WORM storage design</t>
        </is>
      </c>
      <c r="C42" s="11" t="n">
        <v>3</v>
      </c>
      <c r="D42" s="18" t="inlineStr">
        <is>
          <t>Security Engineer ×2</t>
        </is>
      </c>
      <c r="E42" s="11" t="n">
        <v>3</v>
      </c>
      <c r="F42" s="13" t="inlineStr">
        <is>
          <t>Immutability approach documented and accepted (Assumption A-5)</t>
        </is>
      </c>
      <c r="G42" s="11" t="n"/>
      <c r="H42" s="11" t="inlineStr">
        <is>
          <t>H</t>
        </is>
      </c>
    </row>
    <row r="43" outlineLevel="1">
      <c r="A43" s="7" t="inlineStr">
        <is>
          <t>3.3</t>
        </is>
      </c>
      <c r="B43" s="7" t="inlineStr">
        <is>
          <t xml:space="preserve">  User Experience</t>
        </is>
      </c>
      <c r="C43" s="8" t="n">
        <v>2</v>
      </c>
      <c r="D43" s="8" t="n"/>
      <c r="E43" s="7" t="n">
        <v>14</v>
      </c>
      <c r="F43" s="8" t="n"/>
      <c r="G43" s="8" t="n"/>
      <c r="H43" s="8" t="n"/>
    </row>
    <row r="44" outlineLevel="2">
      <c r="A44" s="9" t="inlineStr">
        <is>
          <t>3.3.1</t>
        </is>
      </c>
      <c r="B44" s="10" t="inlineStr">
        <is>
          <t xml:space="preserve">    Developer portal UX (responsive, phone width)</t>
        </is>
      </c>
      <c r="C44" s="11" t="n">
        <v>3</v>
      </c>
      <c r="D44" s="19" t="inlineStr">
        <is>
          <t>Designer ×2</t>
        </is>
      </c>
      <c r="E44" s="11" t="n">
        <v>5</v>
      </c>
      <c r="F44" s="13" t="inlineStr">
        <is>
          <t>Hi-fi designs tested against low-capability developer personas</t>
        </is>
      </c>
      <c r="G44" s="11" t="n"/>
      <c r="H44" s="11" t="inlineStr">
        <is>
          <t>E</t>
        </is>
      </c>
    </row>
    <row r="45" outlineLevel="2">
      <c r="A45" s="9" t="inlineStr">
        <is>
          <t>3.3.2</t>
        </is>
      </c>
      <c r="B45" s="10" t="inlineStr">
        <is>
          <t xml:space="preserve">    Buyer &amp; verifier portal UX</t>
        </is>
      </c>
      <c r="C45" s="11" t="n">
        <v>3</v>
      </c>
      <c r="D45" s="19" t="inlineStr">
        <is>
          <t>Designer ×2</t>
        </is>
      </c>
      <c r="E45" s="11" t="n">
        <v>5</v>
      </c>
      <c r="F45" s="13" t="inlineStr">
        <is>
          <t>Hi-fi designs reviewed by Sponsor</t>
        </is>
      </c>
      <c r="G45" s="11" t="n"/>
      <c r="H45" s="11" t="inlineStr">
        <is>
          <t>F</t>
        </is>
      </c>
    </row>
    <row r="46" outlineLevel="2">
      <c r="A46" s="9" t="inlineStr">
        <is>
          <t>3.3.3</t>
        </is>
      </c>
      <c r="B46" s="10" t="inlineStr">
        <is>
          <t xml:space="preserve">    Hi-fi hands-on review — board member &amp; champion customer</t>
        </is>
      </c>
      <c r="C46" s="11" t="n">
        <v>3</v>
      </c>
      <c r="D46" s="19" t="inlineStr">
        <is>
          <t>Designer ×2</t>
        </is>
      </c>
      <c r="E46" s="11" t="n">
        <v>2</v>
      </c>
      <c r="F46" s="13" t="inlineStr">
        <is>
          <t>Sponsor, CEO, a board member and the champion customer have each used the hi-fi prototype; feedback logged and dispositioned</t>
        </is>
      </c>
      <c r="G46" s="11" t="n"/>
      <c r="H46" s="11" t="inlineStr">
        <is>
          <t>HF</t>
        </is>
      </c>
    </row>
    <row r="47" outlineLevel="2">
      <c r="A47" s="9" t="inlineStr">
        <is>
          <t>3.3.4</t>
        </is>
      </c>
      <c r="B47" s="10" t="inlineStr">
        <is>
          <t xml:space="preserve">    Design review &amp; scope lock</t>
        </is>
      </c>
      <c r="C47" s="11" t="n">
        <v>3</v>
      </c>
      <c r="D47" s="12" t="inlineStr">
        <is>
          <t>Project Manager</t>
        </is>
      </c>
      <c r="E47" s="11" t="n">
        <v>2</v>
      </c>
      <c r="F47" s="13" t="inlineStr">
        <is>
          <t>Sponsor + CEO sign-off; scope formally locked at end of Week 3 before Week 4 build entry</t>
        </is>
      </c>
      <c r="G47" s="11" t="n"/>
      <c r="H47" s="11" t="inlineStr">
        <is>
          <t>I</t>
        </is>
      </c>
    </row>
    <row r="48">
      <c r="A48" s="4" t="inlineStr">
        <is>
          <t>4.0</t>
        </is>
      </c>
      <c r="B48" s="5" t="inlineStr">
        <is>
          <t>Project Registration</t>
        </is>
      </c>
      <c r="C48" s="6" t="n">
        <v>1</v>
      </c>
      <c r="D48" s="6" t="n"/>
      <c r="E48" s="5" t="n">
        <v>21</v>
      </c>
      <c r="F48" s="6" t="n"/>
      <c r="G48" s="6" t="inlineStr">
        <is>
          <t>FR-01, FR-02</t>
        </is>
      </c>
      <c r="H48" s="6" t="n"/>
    </row>
    <row r="49" outlineLevel="1">
      <c r="A49" s="7" t="inlineStr">
        <is>
          <t>4.1</t>
        </is>
      </c>
      <c r="B49" s="7" t="inlineStr">
        <is>
          <t xml:space="preserve">  Project Submission</t>
        </is>
      </c>
      <c r="C49" s="8" t="n">
        <v>2</v>
      </c>
      <c r="D49" s="8" t="n"/>
      <c r="E49" s="7" t="n">
        <v>9</v>
      </c>
      <c r="F49" s="8" t="n"/>
      <c r="G49" s="8" t="n"/>
      <c r="H49" s="8" t="n"/>
    </row>
    <row r="50" outlineLevel="2">
      <c r="A50" s="9" t="inlineStr">
        <is>
          <t>4.1.1</t>
        </is>
      </c>
      <c r="B50" s="10" t="inlineStr">
        <is>
          <t xml:space="preserve">    Submission form &amp; validation rules</t>
        </is>
      </c>
      <c r="C50" s="11" t="n">
        <v>3</v>
      </c>
      <c r="D50" s="19" t="inlineStr">
        <is>
          <t>Designer ×2</t>
        </is>
      </c>
      <c r="E50" s="11" t="n">
        <v>5</v>
      </c>
      <c r="F50" s="13" t="inlineStr">
        <is>
          <t>Developer can submit a complete project; invalid data rejected with clear guidance</t>
        </is>
      </c>
      <c r="G50" s="11" t="n"/>
      <c r="H50" s="11" t="inlineStr">
        <is>
          <t>K</t>
        </is>
      </c>
    </row>
    <row r="51" outlineLevel="2">
      <c r="A51" s="9" t="inlineStr">
        <is>
          <t>4.1.2</t>
        </is>
      </c>
      <c r="B51" s="10" t="inlineStr">
        <is>
          <t xml:space="preserve">    Additionality reasoning capture</t>
        </is>
      </c>
      <c r="C51" s="11" t="n">
        <v>3</v>
      </c>
      <c r="D51" s="17" t="inlineStr">
        <is>
          <t>Full-stack Dev ×4</t>
        </is>
      </c>
      <c r="E51" s="11" t="n">
        <v>4</v>
      </c>
      <c r="F51" s="13" t="inlineStr">
        <is>
          <t>Written reasoning + proof upload captured and stored (Charter FR-01)</t>
        </is>
      </c>
      <c r="G51" s="11" t="n"/>
      <c r="H51" s="11" t="inlineStr">
        <is>
          <t>K</t>
        </is>
      </c>
    </row>
    <row r="52" outlineLevel="1">
      <c r="A52" s="7" t="inlineStr">
        <is>
          <t>4.2</t>
        </is>
      </c>
      <c r="B52" s="7" t="inlineStr">
        <is>
          <t xml:space="preserve">  Evidence Management</t>
        </is>
      </c>
      <c r="C52" s="8" t="n">
        <v>2</v>
      </c>
      <c r="D52" s="8" t="n"/>
      <c r="E52" s="7" t="n">
        <v>8</v>
      </c>
      <c r="F52" s="8" t="n"/>
      <c r="G52" s="8" t="n"/>
      <c r="H52" s="8" t="n"/>
    </row>
    <row r="53" outlineLevel="2">
      <c r="A53" s="9" t="inlineStr">
        <is>
          <t>4.2.1</t>
        </is>
      </c>
      <c r="B53" s="10" t="inlineStr">
        <is>
          <t xml:space="preserve">    Evidence upload service</t>
        </is>
      </c>
      <c r="C53" s="11" t="n">
        <v>3</v>
      </c>
      <c r="D53" s="17" t="inlineStr">
        <is>
          <t>Full-stack Dev ×4</t>
        </is>
      </c>
      <c r="E53" s="11" t="n">
        <v>4</v>
      </c>
      <c r="F53" s="13" t="inlineStr">
        <is>
          <t>PDF, image, spreadsheet, GPS, land-title formats accepted</t>
        </is>
      </c>
      <c r="G53" s="11" t="n"/>
      <c r="H53" s="11" t="inlineStr">
        <is>
          <t>K</t>
        </is>
      </c>
    </row>
    <row r="54" outlineLevel="2">
      <c r="A54" s="9" t="inlineStr">
        <is>
          <t>4.2.2</t>
        </is>
      </c>
      <c r="B54" s="10" t="inlineStr">
        <is>
          <t xml:space="preserve">    WORM storage integration</t>
        </is>
      </c>
      <c r="C54" s="11" t="n">
        <v>3</v>
      </c>
      <c r="D54" s="16" t="inlineStr">
        <is>
          <t>Infrastructure / DevOps</t>
        </is>
      </c>
      <c r="E54" s="11" t="n">
        <v>4</v>
      </c>
      <c r="F54" s="13" t="inlineStr">
        <is>
          <t>Uploaded evidence written once; deletion/overwrite blocked and logged</t>
        </is>
      </c>
      <c r="G54" s="11" t="n"/>
      <c r="H54" s="11" t="inlineStr">
        <is>
          <t>K</t>
        </is>
      </c>
    </row>
    <row r="55" outlineLevel="1">
      <c r="A55" s="7" t="inlineStr">
        <is>
          <t>4.3</t>
        </is>
      </c>
      <c r="B55" s="7" t="inlineStr">
        <is>
          <t xml:space="preserve">  Project Lifecycle</t>
        </is>
      </c>
      <c r="C55" s="8" t="n">
        <v>2</v>
      </c>
      <c r="D55" s="8" t="n"/>
      <c r="E55" s="7" t="n">
        <v>4</v>
      </c>
      <c r="F55" s="8" t="n"/>
      <c r="G55" s="8" t="n"/>
      <c r="H55" s="8" t="n"/>
    </row>
    <row r="56" outlineLevel="2">
      <c r="A56" s="9" t="inlineStr">
        <is>
          <t>4.3.1</t>
        </is>
      </c>
      <c r="B56" s="10" t="inlineStr">
        <is>
          <t xml:space="preserve">    Status tracking &amp; dashboard</t>
        </is>
      </c>
      <c r="C56" s="11" t="n">
        <v>3</v>
      </c>
      <c r="D56" s="19" t="inlineStr">
        <is>
          <t>Designer ×2</t>
        </is>
      </c>
      <c r="E56" s="11" t="n">
        <v>4</v>
      </c>
      <c r="F56" s="13" t="inlineStr">
        <is>
          <t>Developer and registry staff can see live project status; dashboard reserves the monitoring-alert slot (FR-05 deferred)</t>
        </is>
      </c>
      <c r="G56" s="11" t="n"/>
      <c r="H56" s="11" t="inlineStr">
        <is>
          <t>K</t>
        </is>
      </c>
    </row>
    <row r="57">
      <c r="A57" s="4" t="inlineStr">
        <is>
          <t>5.0</t>
        </is>
      </c>
      <c r="B57" s="5" t="inlineStr">
        <is>
          <t>Geospatial Boundary</t>
        </is>
      </c>
      <c r="C57" s="6" t="n">
        <v>1</v>
      </c>
      <c r="D57" s="6" t="n"/>
      <c r="E57" s="5" t="n">
        <v>27</v>
      </c>
      <c r="F57" s="6" t="n"/>
      <c r="G57" s="6" t="inlineStr">
        <is>
          <t>FR-03, FR-04</t>
        </is>
      </c>
      <c r="H57" s="6" t="n"/>
    </row>
    <row r="58" outlineLevel="1">
      <c r="A58" s="7" t="inlineStr">
        <is>
          <t>5.1</t>
        </is>
      </c>
      <c r="B58" s="7" t="inlineStr">
        <is>
          <t xml:space="preserve">  Boundary Registration</t>
        </is>
      </c>
      <c r="C58" s="8" t="n">
        <v>2</v>
      </c>
      <c r="D58" s="8" t="n"/>
      <c r="E58" s="7" t="n">
        <v>13</v>
      </c>
      <c r="F58" s="8" t="n"/>
      <c r="G58" s="8" t="n"/>
      <c r="H58" s="8" t="n"/>
    </row>
    <row r="59" outlineLevel="2">
      <c r="A59" s="9" t="inlineStr">
        <is>
          <t>5.1.1</t>
        </is>
      </c>
      <c r="B59" s="10" t="inlineStr">
        <is>
          <t xml:space="preserve">    Data model &amp; PostGIS setup</t>
        </is>
      </c>
      <c r="C59" s="11" t="n">
        <v>3</v>
      </c>
      <c r="D59" s="17" t="inlineStr">
        <is>
          <t>Full-stack Dev ×4</t>
        </is>
      </c>
      <c r="E59" s="11" t="n">
        <v>4</v>
      </c>
      <c r="F59" s="13" t="inlineStr">
        <is>
          <t>Spatial schema deployed; CRS standardised</t>
        </is>
      </c>
      <c r="G59" s="11" t="n"/>
      <c r="H59" s="11" t="inlineStr">
        <is>
          <t>L</t>
        </is>
      </c>
    </row>
    <row r="60" outlineLevel="2">
      <c r="A60" s="9" t="inlineStr">
        <is>
          <t>5.1.2</t>
        </is>
      </c>
      <c r="B60" s="10" t="inlineStr">
        <is>
          <t xml:space="preserve">    Boundary registration service</t>
        </is>
      </c>
      <c r="C60" s="11" t="n">
        <v>3</v>
      </c>
      <c r="D60" s="17" t="inlineStr">
        <is>
          <t>Full-stack Dev ×4</t>
        </is>
      </c>
      <c r="E60" s="11" t="n">
        <v>5</v>
      </c>
      <c r="F60" s="13" t="inlineStr">
        <is>
          <t>Boundary stored as validated geometry; area computed, not claimed</t>
        </is>
      </c>
      <c r="G60" s="11" t="n"/>
      <c r="H60" s="11" t="inlineStr">
        <is>
          <t>L</t>
        </is>
      </c>
    </row>
    <row r="61" outlineLevel="2">
      <c r="A61" s="9" t="inlineStr">
        <is>
          <t>5.1.3</t>
        </is>
      </c>
      <c r="B61" s="10" t="inlineStr">
        <is>
          <t xml:space="preserve">    GPS / geospatial file ingestion</t>
        </is>
      </c>
      <c r="C61" s="11" t="n">
        <v>3</v>
      </c>
      <c r="D61" s="17" t="inlineStr">
        <is>
          <t>Full-stack Dev ×4</t>
        </is>
      </c>
      <c r="E61" s="11" t="n">
        <v>4</v>
      </c>
      <c r="F61" s="13" t="inlineStr">
        <is>
          <t>GeoJSON, KML and shapefile imports accepted and validated</t>
        </is>
      </c>
      <c r="G61" s="11" t="n"/>
      <c r="H61" s="11" t="inlineStr">
        <is>
          <t>L</t>
        </is>
      </c>
    </row>
    <row r="62" outlineLevel="1">
      <c r="A62" s="7" t="inlineStr">
        <is>
          <t>5.2</t>
        </is>
      </c>
      <c r="B62" s="7" t="inlineStr">
        <is>
          <t xml:space="preserve">  Map Interface</t>
        </is>
      </c>
      <c r="C62" s="8" t="n">
        <v>2</v>
      </c>
      <c r="D62" s="8" t="n"/>
      <c r="E62" s="7" t="n">
        <v>5</v>
      </c>
      <c r="F62" s="8" t="n"/>
      <c r="G62" s="8" t="n"/>
      <c r="H62" s="8" t="n"/>
    </row>
    <row r="63" outlineLevel="2">
      <c r="A63" s="9" t="inlineStr">
        <is>
          <t>5.2.1</t>
        </is>
      </c>
      <c r="B63" s="10" t="inlineStr">
        <is>
          <t xml:space="preserve">    Responsive map-drawing interface (phone width)</t>
        </is>
      </c>
      <c r="C63" s="11" t="n">
        <v>3</v>
      </c>
      <c r="D63" s="17" t="inlineStr">
        <is>
          <t>Full-stack Dev ×4</t>
        </is>
      </c>
      <c r="E63" s="11" t="n">
        <v>5</v>
      </c>
      <c r="F63" s="13" t="inlineStr">
        <is>
          <t>Non-technical user can draw a boundary on a phone (NFR usability)</t>
        </is>
      </c>
      <c r="G63" s="11" t="n"/>
      <c r="H63" s="11" t="inlineStr">
        <is>
          <t>L</t>
        </is>
      </c>
    </row>
    <row r="64" outlineLevel="1">
      <c r="A64" s="7" t="inlineStr">
        <is>
          <t>5.3</t>
        </is>
      </c>
      <c r="B64" s="7" t="inlineStr">
        <is>
          <t xml:space="preserve">  Overlap Detection</t>
        </is>
      </c>
      <c r="C64" s="8" t="n">
        <v>2</v>
      </c>
      <c r="D64" s="8" t="n"/>
      <c r="E64" s="7" t="n">
        <v>9</v>
      </c>
      <c r="F64" s="8" t="n"/>
      <c r="G64" s="8" t="n"/>
      <c r="H64" s="8" t="n"/>
    </row>
    <row r="65" outlineLevel="2">
      <c r="A65" s="9" t="inlineStr">
        <is>
          <t>5.3.1</t>
        </is>
      </c>
      <c r="B65" s="10" t="inlineStr">
        <is>
          <t xml:space="preserve">    Overlap engine &amp; tolerance rules</t>
        </is>
      </c>
      <c r="C65" s="11" t="n">
        <v>3</v>
      </c>
      <c r="D65" s="17" t="inlineStr">
        <is>
          <t>Full-stack Dev ×4</t>
        </is>
      </c>
      <c r="E65" s="11" t="n">
        <v>5</v>
      </c>
      <c r="F65" s="13" t="inlineStr">
        <is>
          <t>Overlaps detected across all registered projects; GPS-error tolerance threshold applied</t>
        </is>
      </c>
      <c r="G65" s="11" t="n"/>
      <c r="H65" s="11" t="inlineStr">
        <is>
          <t>M</t>
        </is>
      </c>
    </row>
    <row r="66" outlineLevel="2">
      <c r="A66" s="9" t="inlineStr">
        <is>
          <t>5.3.2</t>
        </is>
      </c>
      <c r="B66" s="10" t="inlineStr">
        <is>
          <t xml:space="preserve">    Flagging &amp; pre-issuance gate</t>
        </is>
      </c>
      <c r="C66" s="11" t="n">
        <v>3</v>
      </c>
      <c r="D66" s="17" t="inlineStr">
        <is>
          <t>Full-stack Dev ×4</t>
        </is>
      </c>
      <c r="E66" s="11" t="n">
        <v>4</v>
      </c>
      <c r="F66" s="13" t="inlineStr">
        <is>
          <t>Flagged overlaps block credit issuance until investigated (Objective 4)</t>
        </is>
      </c>
      <c r="G66" s="11" t="n"/>
      <c r="H66" s="11" t="inlineStr">
        <is>
          <t>M</t>
        </is>
      </c>
    </row>
    <row r="67">
      <c r="A67" s="38" t="inlineStr">
        <is>
          <t>6.0</t>
        </is>
      </c>
      <c r="B67" s="38" t="inlineStr">
        <is>
          <t>Satellite Monitoring — DEFERRED</t>
        </is>
      </c>
      <c r="C67" s="39" t="n">
        <v>1</v>
      </c>
      <c r="D67" s="39" t="n"/>
      <c r="E67" s="38" t="n">
        <v>0</v>
      </c>
      <c r="F67" s="39" t="inlineStr">
        <is>
          <t>Designed in the solution and architecture, not built this term: it needs a commercial satellite imagery subscription the team cannot procure. The dashboard reserves a monitoring-alert slot and the data model stores monitoring records. Full-plan estimate 21 pd.</t>
        </is>
      </c>
      <c r="G67" s="39" t="inlineStr">
        <is>
          <t>FR-05 (deferred)</t>
        </is>
      </c>
      <c r="H67" s="39" t="n"/>
    </row>
    <row r="68" outlineLevel="1">
      <c r="A68" s="40" t="inlineStr">
        <is>
          <t>6.1</t>
        </is>
      </c>
      <c r="B68" s="40" t="inlineStr">
        <is>
          <t xml:space="preserve">  Satellite Integration</t>
        </is>
      </c>
      <c r="C68" s="41" t="n">
        <v>2</v>
      </c>
      <c r="D68" s="41" t="n"/>
      <c r="E68" s="40" t="n">
        <v>0</v>
      </c>
      <c r="F68" s="41" t="n"/>
      <c r="G68" s="41" t="n"/>
      <c r="H68" s="41" t="n"/>
    </row>
    <row r="69" outlineLevel="2">
      <c r="A69" s="42" t="inlineStr">
        <is>
          <t>6.1.1</t>
        </is>
      </c>
      <c r="B69" s="43" t="inlineStr">
        <is>
          <t xml:space="preserve">    Provider API integration</t>
        </is>
      </c>
      <c r="C69" s="44" t="n">
        <v>3</v>
      </c>
      <c r="D69" s="45" t="inlineStr">
        <is>
          <t>Infrastructure / DevOps</t>
        </is>
      </c>
      <c r="E69" s="44" t="n">
        <v>0</v>
      </c>
      <c r="F69" s="46" t="inlineStr">
        <is>
          <t>DEFERRED — designed, not built this term. Original estimate 5 pd. When built: Imagery retrieved for a registered boundary</t>
        </is>
      </c>
      <c r="G69" s="44" t="n"/>
      <c r="H69" s="44" t="inlineStr">
        <is>
          <t>— (deferred)</t>
        </is>
      </c>
    </row>
    <row r="70" outlineLevel="2">
      <c r="A70" s="42" t="inlineStr">
        <is>
          <t>6.1.2</t>
        </is>
      </c>
      <c r="B70" s="43" t="inlineStr">
        <is>
          <t xml:space="preserve">    Imagery retrieval &amp; clipping</t>
        </is>
      </c>
      <c r="C70" s="44" t="n">
        <v>3</v>
      </c>
      <c r="D70" s="45" t="inlineStr">
        <is>
          <t>Infrastructure / DevOps</t>
        </is>
      </c>
      <c r="E70" s="44" t="n">
        <v>0</v>
      </c>
      <c r="F70" s="46" t="inlineStr">
        <is>
          <t>DEFERRED — designed, not built this term. Original estimate 4 pd. When built: Imagery clipped to project polygon; per-project time series stored</t>
        </is>
      </c>
      <c r="G70" s="44" t="n"/>
      <c r="H70" s="44" t="inlineStr">
        <is>
          <t>— (deferred)</t>
        </is>
      </c>
    </row>
    <row r="71" outlineLevel="1">
      <c r="A71" s="40" t="inlineStr">
        <is>
          <t>6.2</t>
        </is>
      </c>
      <c r="B71" s="40" t="inlineStr">
        <is>
          <t xml:space="preserve">  Change Detection</t>
        </is>
      </c>
      <c r="C71" s="41" t="n">
        <v>2</v>
      </c>
      <c r="D71" s="41" t="n"/>
      <c r="E71" s="40" t="n">
        <v>0</v>
      </c>
      <c r="F71" s="41" t="n"/>
      <c r="G71" s="41" t="n"/>
      <c r="H71" s="41" t="n"/>
    </row>
    <row r="72" outlineLevel="2">
      <c r="A72" s="42" t="inlineStr">
        <is>
          <t>6.2.1</t>
        </is>
      </c>
      <c r="B72" s="43" t="inlineStr">
        <is>
          <t xml:space="preserve">    Land-cover change &amp; baseline</t>
        </is>
      </c>
      <c r="C72" s="44" t="n">
        <v>3</v>
      </c>
      <c r="D72" s="45" t="inlineStr">
        <is>
          <t>Full-stack Dev ×4</t>
        </is>
      </c>
      <c r="E72" s="44" t="n">
        <v>0</v>
      </c>
      <c r="F72" s="46" t="inlineStr">
        <is>
          <t>DEFERRED — designed, not built this term. Original estimate 5 pd. When built: Baseline established; significant change detected on test data</t>
        </is>
      </c>
      <c r="G72" s="44" t="n"/>
      <c r="H72" s="44" t="inlineStr">
        <is>
          <t>— (deferred)</t>
        </is>
      </c>
    </row>
    <row r="73" outlineLevel="1">
      <c r="A73" s="40" t="inlineStr">
        <is>
          <t>6.3</t>
        </is>
      </c>
      <c r="B73" s="40" t="inlineStr">
        <is>
          <t xml:space="preserve">  Monitoring Output</t>
        </is>
      </c>
      <c r="C73" s="41" t="n">
        <v>2</v>
      </c>
      <c r="D73" s="41" t="n"/>
      <c r="E73" s="40" t="n">
        <v>0</v>
      </c>
      <c r="F73" s="41" t="n"/>
      <c r="G73" s="41" t="n"/>
      <c r="H73" s="41" t="n"/>
    </row>
    <row r="74" outlineLevel="2">
      <c r="A74" s="42" t="inlineStr">
        <is>
          <t>6.3.1</t>
        </is>
      </c>
      <c r="B74" s="43" t="inlineStr">
        <is>
          <t xml:space="preserve">    Flags &amp; alert generation</t>
        </is>
      </c>
      <c r="C74" s="44" t="n">
        <v>3</v>
      </c>
      <c r="D74" s="45" t="inlineStr">
        <is>
          <t>Full-stack Dev ×4</t>
        </is>
      </c>
      <c r="E74" s="44" t="n">
        <v>0</v>
      </c>
      <c r="F74" s="46" t="inlineStr">
        <is>
          <t>DEFERRED — designed, not built this term. Original estimate 4 pd. When built: Change above threshold raises an investigation flag</t>
        </is>
      </c>
      <c r="G74" s="44" t="n"/>
      <c r="H74" s="44" t="inlineStr">
        <is>
          <t>— (deferred)</t>
        </is>
      </c>
    </row>
    <row r="75" outlineLevel="2">
      <c r="A75" s="42" t="inlineStr">
        <is>
          <t>6.3.2</t>
        </is>
      </c>
      <c r="B75" s="43" t="inlineStr">
        <is>
          <t xml:space="preserve">    Monitoring history view</t>
        </is>
      </c>
      <c r="C75" s="44" t="n">
        <v>3</v>
      </c>
      <c r="D75" s="45" t="inlineStr">
        <is>
          <t>Designer ×2</t>
        </is>
      </c>
      <c r="E75" s="44" t="n">
        <v>0</v>
      </c>
      <c r="F75" s="46" t="inlineStr">
        <is>
          <t>DEFERRED — designed, not built this term. Original estimate 3 pd. When built: Monitoring timeline visible per project</t>
        </is>
      </c>
      <c r="G75" s="44" t="n"/>
      <c r="H75" s="44" t="inlineStr">
        <is>
          <t>— (deferred)</t>
        </is>
      </c>
    </row>
    <row r="76">
      <c r="A76" s="4" t="inlineStr">
        <is>
          <t>7.0</t>
        </is>
      </c>
      <c r="B76" s="5" t="inlineStr">
        <is>
          <t>Verification</t>
        </is>
      </c>
      <c r="C76" s="6" t="n">
        <v>1</v>
      </c>
      <c r="D76" s="6" t="n"/>
      <c r="E76" s="5" t="n">
        <v>21</v>
      </c>
      <c r="F76" s="6" t="n"/>
      <c r="G76" s="6" t="inlineStr">
        <is>
          <t>Charter §5.3, FR-10</t>
        </is>
      </c>
      <c r="H76" s="6" t="n"/>
    </row>
    <row r="77" outlineLevel="1">
      <c r="A77" s="7" t="inlineStr">
        <is>
          <t>7.1</t>
        </is>
      </c>
      <c r="B77" s="7" t="inlineStr">
        <is>
          <t xml:space="preserve">  Verifier Access</t>
        </is>
      </c>
      <c r="C77" s="8" t="n">
        <v>2</v>
      </c>
      <c r="D77" s="8" t="n"/>
      <c r="E77" s="7" t="n">
        <v>8</v>
      </c>
      <c r="F77" s="8" t="n"/>
      <c r="G77" s="8" t="n"/>
      <c r="H77" s="8" t="n"/>
    </row>
    <row r="78" outlineLevel="2">
      <c r="A78" s="9" t="inlineStr">
        <is>
          <t>7.1.1</t>
        </is>
      </c>
      <c r="B78" s="10" t="inlineStr">
        <is>
          <t xml:space="preserve">    Assignment &amp; evidence access</t>
        </is>
      </c>
      <c r="C78" s="11" t="n">
        <v>3</v>
      </c>
      <c r="D78" s="17" t="inlineStr">
        <is>
          <t>Full-stack Dev ×4</t>
        </is>
      </c>
      <c r="E78" s="11" t="n">
        <v>4</v>
      </c>
      <c r="F78" s="13" t="inlineStr">
        <is>
          <t>Assigned verifier sees only their projects' evidence</t>
        </is>
      </c>
      <c r="G78" s="11" t="n"/>
      <c r="H78" s="11" t="inlineStr">
        <is>
          <t>O</t>
        </is>
      </c>
    </row>
    <row r="79" outlineLevel="2">
      <c r="A79" s="9" t="inlineStr">
        <is>
          <t>7.1.2</t>
        </is>
      </c>
      <c r="B79" s="10" t="inlineStr">
        <is>
          <t xml:space="preserve">    Verifier workspace UI</t>
        </is>
      </c>
      <c r="C79" s="11" t="n">
        <v>3</v>
      </c>
      <c r="D79" s="19" t="inlineStr">
        <is>
          <t>Designer ×2</t>
        </is>
      </c>
      <c r="E79" s="11" t="n">
        <v>4</v>
      </c>
      <c r="F79" s="13" t="inlineStr">
        <is>
          <t>Verifier can review evidence in one place</t>
        </is>
      </c>
      <c r="G79" s="11" t="n"/>
      <c r="H79" s="11" t="inlineStr">
        <is>
          <t>O</t>
        </is>
      </c>
    </row>
    <row r="80" outlineLevel="1">
      <c r="A80" s="7" t="inlineStr">
        <is>
          <t>7.2</t>
        </is>
      </c>
      <c r="B80" s="7" t="inlineStr">
        <is>
          <t xml:space="preserve">  Verification Workflow</t>
        </is>
      </c>
      <c r="C80" s="8" t="n">
        <v>2</v>
      </c>
      <c r="D80" s="8" t="n"/>
      <c r="E80" s="7" t="n">
        <v>9</v>
      </c>
      <c r="F80" s="8" t="n"/>
      <c r="G80" s="8" t="n"/>
      <c r="H80" s="8" t="n"/>
    </row>
    <row r="81" outlineLevel="2">
      <c r="A81" s="9" t="inlineStr">
        <is>
          <t>7.2.1</t>
        </is>
      </c>
      <c r="B81" s="10" t="inlineStr">
        <is>
          <t xml:space="preserve">    Verification report submission</t>
        </is>
      </c>
      <c r="C81" s="11" t="n">
        <v>3</v>
      </c>
      <c r="D81" s="19" t="inlineStr">
        <is>
          <t>Designer ×2</t>
        </is>
      </c>
      <c r="E81" s="11" t="n">
        <v>4</v>
      </c>
      <c r="F81" s="13" t="inlineStr">
        <is>
          <t>Verifier submits structured verification report</t>
        </is>
      </c>
      <c r="G81" s="11" t="n"/>
      <c r="H81" s="11" t="inlineStr">
        <is>
          <t>O</t>
        </is>
      </c>
    </row>
    <row r="82" outlineLevel="2">
      <c r="A82" s="9" t="inlineStr">
        <is>
          <t>7.2.2</t>
        </is>
      </c>
      <c r="B82" s="10" t="inlineStr">
        <is>
          <t xml:space="preserve">    Registry review &amp; approval</t>
        </is>
      </c>
      <c r="C82" s="11" t="n">
        <v>3</v>
      </c>
      <c r="D82" s="17" t="inlineStr">
        <is>
          <t>Full-stack Dev ×4</t>
        </is>
      </c>
      <c r="E82" s="11" t="n">
        <v>5</v>
      </c>
      <c r="F82" s="13" t="inlineStr">
        <is>
          <t>Registry staff approve/reject with recorded rationale</t>
        </is>
      </c>
      <c r="G82" s="11" t="n"/>
      <c r="H82" s="11" t="inlineStr">
        <is>
          <t>O</t>
        </is>
      </c>
    </row>
    <row r="83" outlineLevel="1">
      <c r="A83" s="7" t="inlineStr">
        <is>
          <t>7.3</t>
        </is>
      </c>
      <c r="B83" s="7" t="inlineStr">
        <is>
          <t xml:space="preserve">  Verification Records</t>
        </is>
      </c>
      <c r="C83" s="8" t="n">
        <v>2</v>
      </c>
      <c r="D83" s="8" t="n"/>
      <c r="E83" s="7" t="n">
        <v>4</v>
      </c>
      <c r="F83" s="8" t="n"/>
      <c r="G83" s="8" t="n"/>
      <c r="H83" s="8" t="n"/>
    </row>
    <row r="84" outlineLevel="2">
      <c r="A84" s="9" t="inlineStr">
        <is>
          <t>7.3.1</t>
        </is>
      </c>
      <c r="B84" s="10" t="inlineStr">
        <is>
          <t xml:space="preserve">    Traceable verification history</t>
        </is>
      </c>
      <c r="C84" s="11" t="n">
        <v>3</v>
      </c>
      <c r="D84" s="17" t="inlineStr">
        <is>
          <t>Full-stack Dev ×4</t>
        </is>
      </c>
      <c r="E84" s="11" t="n">
        <v>4</v>
      </c>
      <c r="F84" s="13" t="inlineStr">
        <is>
          <t>Full verification chain retrievable per project</t>
        </is>
      </c>
      <c r="G84" s="11" t="n"/>
      <c r="H84" s="11" t="inlineStr">
        <is>
          <t>PZ</t>
        </is>
      </c>
    </row>
    <row r="85">
      <c r="A85" s="4" t="inlineStr">
        <is>
          <t>8.0</t>
        </is>
      </c>
      <c r="B85" s="5" t="inlineStr">
        <is>
          <t>Buyer Transparency</t>
        </is>
      </c>
      <c r="C85" s="6" t="n">
        <v>1</v>
      </c>
      <c r="D85" s="6" t="n"/>
      <c r="E85" s="5" t="n">
        <v>21</v>
      </c>
      <c r="F85" s="6" t="n"/>
      <c r="G85" s="6" t="inlineStr">
        <is>
          <t>FR-08</t>
        </is>
      </c>
      <c r="H85" s="6" t="n"/>
    </row>
    <row r="86" outlineLevel="1">
      <c r="A86" s="7" t="inlineStr">
        <is>
          <t>8.1</t>
        </is>
      </c>
      <c r="B86" s="7" t="inlineStr">
        <is>
          <t xml:space="preserve">  Buyer Portal</t>
        </is>
      </c>
      <c r="C86" s="8" t="n">
        <v>2</v>
      </c>
      <c r="D86" s="8" t="n"/>
      <c r="E86" s="7" t="n">
        <v>8</v>
      </c>
      <c r="F86" s="8" t="n"/>
      <c r="G86" s="8" t="n"/>
      <c r="H86" s="8" t="n"/>
    </row>
    <row r="87" outlineLevel="2">
      <c r="A87" s="9" t="inlineStr">
        <is>
          <t>8.1.1</t>
        </is>
      </c>
      <c r="B87" s="10" t="inlineStr">
        <is>
          <t xml:space="preserve">    Buyer auth &amp; project access</t>
        </is>
      </c>
      <c r="C87" s="11" t="n">
        <v>3</v>
      </c>
      <c r="D87" s="17" t="inlineStr">
        <is>
          <t>Full-stack Dev ×4</t>
        </is>
      </c>
      <c r="E87" s="11" t="n">
        <v>4</v>
      </c>
      <c r="F87" s="13" t="inlineStr">
        <is>
          <t>Authorised buyer signs in and sees permitted projects only</t>
        </is>
      </c>
      <c r="G87" s="11" t="n"/>
      <c r="H87" s="11" t="inlineStr">
        <is>
          <t>Q</t>
        </is>
      </c>
    </row>
    <row r="88" outlineLevel="2">
      <c r="A88" s="9" t="inlineStr">
        <is>
          <t>8.1.2</t>
        </is>
      </c>
      <c r="B88" s="10" t="inlineStr">
        <is>
          <t xml:space="preserve">    Status &amp; evidence view</t>
        </is>
      </c>
      <c r="C88" s="11" t="n">
        <v>3</v>
      </c>
      <c r="D88" s="19" t="inlineStr">
        <is>
          <t>Designer ×2</t>
        </is>
      </c>
      <c r="E88" s="11" t="n">
        <v>4</v>
      </c>
      <c r="F88" s="13" t="inlineStr">
        <is>
          <t>Buyer sees verification status and permitted evidence</t>
        </is>
      </c>
      <c r="G88" s="11" t="n"/>
      <c r="H88" s="11" t="inlineStr">
        <is>
          <t>Q</t>
        </is>
      </c>
    </row>
    <row r="89" outlineLevel="1">
      <c r="A89" s="7" t="inlineStr">
        <is>
          <t>8.2</t>
        </is>
      </c>
      <c r="B89" s="7" t="inlineStr">
        <is>
          <t xml:space="preserve">  Traceability Views</t>
        </is>
      </c>
      <c r="C89" s="8" t="n">
        <v>2</v>
      </c>
      <c r="D89" s="8" t="n"/>
      <c r="E89" s="7" t="n">
        <v>9</v>
      </c>
      <c r="F89" s="8" t="n"/>
      <c r="G89" s="8" t="n"/>
      <c r="H89" s="8" t="n"/>
    </row>
    <row r="90" outlineLevel="2">
      <c r="A90" s="9" t="inlineStr">
        <is>
          <t>8.2.1</t>
        </is>
      </c>
      <c r="B90" s="10" t="inlineStr">
        <is>
          <t xml:space="preserve">    Buyer-facing audit trail</t>
        </is>
      </c>
      <c r="C90" s="11" t="n">
        <v>3</v>
      </c>
      <c r="D90" s="17" t="inlineStr">
        <is>
          <t>Full-stack Dev ×4</t>
        </is>
      </c>
      <c r="E90" s="11" t="n">
        <v>5</v>
      </c>
      <c r="F90" s="13" t="inlineStr">
        <is>
          <t>Buyer traces origin → evidence → verification → credit → audit (Week 14 requirement); monitoring step shows the reserved placeholder while FR-05 is deferred</t>
        </is>
      </c>
      <c r="G90" s="11" t="n"/>
      <c r="H90" s="11" t="inlineStr">
        <is>
          <t>Q</t>
        </is>
      </c>
    </row>
    <row r="91" outlineLevel="2">
      <c r="A91" s="9" t="inlineStr">
        <is>
          <t>8.2.2</t>
        </is>
      </c>
      <c r="B91" s="10" t="inlineStr">
        <is>
          <t xml:space="preserve">    Credit history &amp; monitoring placeholder</t>
        </is>
      </c>
      <c r="C91" s="11" t="n">
        <v>3</v>
      </c>
      <c r="D91" s="19" t="inlineStr">
        <is>
          <t>Designer ×2</t>
        </is>
      </c>
      <c r="E91" s="11" t="n">
        <v>4</v>
      </c>
      <c r="F91" s="13" t="inlineStr">
        <is>
          <t>Buyer sees credit history; monitoring panel shows the reserved placeholder (FR-05 deferred)</t>
        </is>
      </c>
      <c r="G91" s="11" t="n"/>
      <c r="H91" s="11" t="inlineStr">
        <is>
          <t>Q</t>
        </is>
      </c>
    </row>
    <row r="92" outlineLevel="1">
      <c r="A92" s="7" t="inlineStr">
        <is>
          <t>8.3</t>
        </is>
      </c>
      <c r="B92" s="7" t="inlineStr">
        <is>
          <t xml:space="preserve">  Privacy Controls</t>
        </is>
      </c>
      <c r="C92" s="8" t="n">
        <v>2</v>
      </c>
      <c r="D92" s="8" t="n"/>
      <c r="E92" s="7" t="n">
        <v>4</v>
      </c>
      <c r="F92" s="8" t="n"/>
      <c r="G92" s="8" t="n"/>
      <c r="H92" s="8" t="n"/>
    </row>
    <row r="93" outlineLevel="2">
      <c r="A93" s="9" t="inlineStr">
        <is>
          <t>8.3.1</t>
        </is>
      </c>
      <c r="B93" s="10" t="inlineStr">
        <is>
          <t xml:space="preserve">    Privacy filtering &amp; redaction</t>
        </is>
      </c>
      <c r="C93" s="11" t="n">
        <v>3</v>
      </c>
      <c r="D93" s="18" t="inlineStr">
        <is>
          <t>Security Engineer ×2</t>
        </is>
      </c>
      <c r="E93" s="11" t="n">
        <v>4</v>
      </c>
      <c r="F93" s="13" t="inlineStr">
        <is>
          <t>Developer-sensitive fields never returned to buyer accounts</t>
        </is>
      </c>
      <c r="G93" s="11" t="n"/>
      <c r="H93" s="11" t="inlineStr">
        <is>
          <t>Q</t>
        </is>
      </c>
    </row>
    <row r="94">
      <c r="A94" s="4" t="inlineStr">
        <is>
          <t>9.0</t>
        </is>
      </c>
      <c r="B94" s="5" t="inlineStr">
        <is>
          <t>Security &amp; Audit</t>
        </is>
      </c>
      <c r="C94" s="6" t="n">
        <v>1</v>
      </c>
      <c r="D94" s="6" t="n"/>
      <c r="E94" s="5" t="n">
        <v>26</v>
      </c>
      <c r="F94" s="6" t="n"/>
      <c r="G94" s="6" t="inlineStr">
        <is>
          <t>FR-07, FR-09, FR-10, FR-11 (deferred)</t>
        </is>
      </c>
      <c r="H94" s="6" t="n"/>
    </row>
    <row r="95" outlineLevel="1">
      <c r="A95" s="7" t="inlineStr">
        <is>
          <t>9.1</t>
        </is>
      </c>
      <c r="B95" s="7" t="inlineStr">
        <is>
          <t xml:space="preserve">  Access Control</t>
        </is>
      </c>
      <c r="C95" s="8" t="n">
        <v>2</v>
      </c>
      <c r="D95" s="8" t="n"/>
      <c r="E95" s="7" t="n">
        <v>13</v>
      </c>
      <c r="F95" s="8" t="n"/>
      <c r="G95" s="8" t="n"/>
      <c r="H95" s="8" t="n"/>
    </row>
    <row r="96" outlineLevel="2">
      <c r="A96" s="9" t="inlineStr">
        <is>
          <t>9.1.1</t>
        </is>
      </c>
      <c r="B96" s="10" t="inlineStr">
        <is>
          <t xml:space="preserve">    Authentication (Keycloak/Auth0)</t>
        </is>
      </c>
      <c r="C96" s="11" t="n">
        <v>3</v>
      </c>
      <c r="D96" s="18" t="inlineStr">
        <is>
          <t>Security Engineer ×2</t>
        </is>
      </c>
      <c r="E96" s="11" t="n">
        <v>4</v>
      </c>
      <c r="F96" s="13" t="inlineStr">
        <is>
          <t>All users authenticate; sessions managed securely</t>
        </is>
      </c>
      <c r="G96" s="11" t="n"/>
      <c r="H96" s="11" t="inlineStr">
        <is>
          <t>J</t>
        </is>
      </c>
    </row>
    <row r="97" outlineLevel="2">
      <c r="A97" s="9" t="inlineStr">
        <is>
          <t>9.1.2</t>
        </is>
      </c>
      <c r="B97" s="10" t="inlineStr">
        <is>
          <t xml:space="preserve">    Role-based access control</t>
        </is>
      </c>
      <c r="C97" s="11" t="n">
        <v>3</v>
      </c>
      <c r="D97" s="18" t="inlineStr">
        <is>
          <t>Security Engineer ×2</t>
        </is>
      </c>
      <c r="E97" s="11" t="n">
        <v>5</v>
      </c>
      <c r="F97" s="13" t="inlineStr">
        <is>
          <t>Access matrix enforced; unauthorised access blocked and logged</t>
        </is>
      </c>
      <c r="G97" s="11" t="n"/>
      <c r="H97" s="11" t="inlineStr">
        <is>
          <t>J</t>
        </is>
      </c>
    </row>
    <row r="98" outlineLevel="2">
      <c r="A98" s="9" t="inlineStr">
        <is>
          <t>9.1.3</t>
        </is>
      </c>
      <c r="B98" s="10" t="inlineStr">
        <is>
          <t xml:space="preserve">    Separation of duties</t>
        </is>
      </c>
      <c r="C98" s="11" t="n">
        <v>3</v>
      </c>
      <c r="D98" s="18" t="inlineStr">
        <is>
          <t>Security Engineer ×2</t>
        </is>
      </c>
      <c r="E98" s="11" t="n">
        <v>4</v>
      </c>
      <c r="F98" s="13" t="inlineStr">
        <is>
          <t>Same user cannot both submit and approve a critical action</t>
        </is>
      </c>
      <c r="G98" s="11" t="n"/>
      <c r="H98" s="11" t="inlineStr">
        <is>
          <t>P</t>
        </is>
      </c>
    </row>
    <row r="99" outlineLevel="1">
      <c r="A99" s="7" t="inlineStr">
        <is>
          <t>9.2</t>
        </is>
      </c>
      <c r="B99" s="7" t="inlineStr">
        <is>
          <t xml:space="preserve">  Audit Ledger</t>
        </is>
      </c>
      <c r="C99" s="8" t="n">
        <v>2</v>
      </c>
      <c r="D99" s="8" t="n"/>
      <c r="E99" s="7" t="n">
        <v>9</v>
      </c>
      <c r="F99" s="8" t="n"/>
      <c r="G99" s="8" t="n"/>
      <c r="H99" s="8" t="n"/>
    </row>
    <row r="100" outlineLevel="2">
      <c r="A100" s="9" t="inlineStr">
        <is>
          <t>9.2.1</t>
        </is>
      </c>
      <c r="B100" s="10" t="inlineStr">
        <is>
          <t xml:space="preserve">    Cryptographic database ledger</t>
        </is>
      </c>
      <c r="C100" s="11" t="n">
        <v>3</v>
      </c>
      <c r="D100" s="18" t="inlineStr">
        <is>
          <t>Security Engineer ×2</t>
        </is>
      </c>
      <c r="E100" s="11" t="n">
        <v>5</v>
      </c>
      <c r="F100" s="13" t="inlineStr">
        <is>
          <t>Ledger records hash-chained; tampering detectable</t>
        </is>
      </c>
      <c r="G100" s="11" t="n"/>
      <c r="H100" s="11" t="inlineStr">
        <is>
          <t>P</t>
        </is>
      </c>
    </row>
    <row r="101" outlineLevel="2">
      <c r="A101" s="9" t="inlineStr">
        <is>
          <t>9.2.2</t>
        </is>
      </c>
      <c r="B101" s="10" t="inlineStr">
        <is>
          <t xml:space="preserve">    Critical action recording</t>
        </is>
      </c>
      <c r="C101" s="11" t="n">
        <v>3</v>
      </c>
      <c r="D101" s="17" t="inlineStr">
        <is>
          <t>Full-stack Dev ×4</t>
        </is>
      </c>
      <c r="E101" s="11" t="n">
        <v>4</v>
      </c>
      <c r="F101" s="13" t="inlineStr">
        <is>
          <t>100% of critical verification and issuance actions recorded (Objective 5)</t>
        </is>
      </c>
      <c r="G101" s="11" t="n"/>
      <c r="H101" s="11" t="inlineStr">
        <is>
          <t>P</t>
        </is>
      </c>
    </row>
    <row r="102" outlineLevel="1">
      <c r="A102" s="7" t="inlineStr">
        <is>
          <t>9.3</t>
        </is>
      </c>
      <c r="B102" s="7" t="inlineStr">
        <is>
          <t xml:space="preserve">  Logging &amp; Retention</t>
        </is>
      </c>
      <c r="C102" s="8" t="n">
        <v>2</v>
      </c>
      <c r="D102" s="8" t="n"/>
      <c r="E102" s="7" t="n">
        <v>4</v>
      </c>
      <c r="F102" s="8" t="n"/>
      <c r="G102" s="8" t="n"/>
      <c r="H102" s="8" t="n"/>
    </row>
    <row r="103" outlineLevel="2">
      <c r="A103" s="9" t="inlineStr">
        <is>
          <t>9.3.1</t>
        </is>
      </c>
      <c r="B103" s="10" t="inlineStr">
        <is>
          <t xml:space="preserve">    Action logging &amp; retention</t>
        </is>
      </c>
      <c r="C103" s="11" t="n">
        <v>3</v>
      </c>
      <c r="D103" s="18" t="inlineStr">
        <is>
          <t>Security Engineer ×2</t>
        </is>
      </c>
      <c r="E103" s="11" t="n">
        <v>4</v>
      </c>
      <c r="F103" s="13" t="inlineStr">
        <is>
          <t>Admin actions logged; retention policy enforced</t>
        </is>
      </c>
      <c r="G103" s="11" t="n"/>
      <c r="H103" s="11" t="inlineStr">
        <is>
          <t>P</t>
        </is>
      </c>
    </row>
    <row r="104" outlineLevel="1">
      <c r="A104" s="40" t="inlineStr">
        <is>
          <t>9.4</t>
        </is>
      </c>
      <c r="B104" s="40" t="inlineStr">
        <is>
          <t xml:space="preserve">  Future Integration — DEFERRED</t>
        </is>
      </c>
      <c r="C104" s="41" t="n">
        <v>2</v>
      </c>
      <c r="D104" s="41" t="n"/>
      <c r="E104" s="40" t="n">
        <v>0</v>
      </c>
      <c r="F104" s="41" t="n"/>
      <c r="G104" s="41" t="n"/>
      <c r="H104" s="41" t="n"/>
    </row>
    <row r="105" outlineLevel="2">
      <c r="A105" s="42" t="inlineStr">
        <is>
          <t>9.4.1</t>
        </is>
      </c>
      <c r="B105" s="43" t="inlineStr">
        <is>
          <t xml:space="preserve">    Inter-registry flagging hook</t>
        </is>
      </c>
      <c r="C105" s="44" t="n">
        <v>3</v>
      </c>
      <c r="D105" s="45" t="inlineStr">
        <is>
          <t>Full-stack Dev ×4</t>
        </is>
      </c>
      <c r="E105" s="44" t="n">
        <v>0</v>
      </c>
      <c r="F105" s="46" t="inlineStr">
        <is>
          <t>DEFERRED — designed, not built this term. No external registry is connected, so there is no counterpart to build against; the endpoint and its data contract are designed so it can be added later without rework. Original estimate 3 pd.</t>
        </is>
      </c>
      <c r="G105" s="44" t="n"/>
      <c r="H105" s="44" t="inlineStr">
        <is>
          <t>— (deferred)</t>
        </is>
      </c>
    </row>
    <row r="106">
      <c r="A106" s="4" t="inlineStr">
        <is>
          <t>10.0</t>
        </is>
      </c>
      <c r="B106" s="5" t="inlineStr">
        <is>
          <t>Quality &amp; Testing</t>
        </is>
      </c>
      <c r="C106" s="6" t="n">
        <v>1</v>
      </c>
      <c r="D106" s="6" t="n"/>
      <c r="E106" s="5" t="n">
        <v>46</v>
      </c>
      <c r="F106" s="6" t="n"/>
      <c r="G106" s="6" t="inlineStr"/>
      <c r="H106" s="6" t="n"/>
    </row>
    <row r="107" outlineLevel="1">
      <c r="A107" s="7" t="inlineStr">
        <is>
          <t>10.1</t>
        </is>
      </c>
      <c r="B107" s="7" t="inlineStr">
        <is>
          <t xml:space="preserve">  Test Planning</t>
        </is>
      </c>
      <c r="C107" s="8" t="n">
        <v>2</v>
      </c>
      <c r="D107" s="8" t="n"/>
      <c r="E107" s="7" t="n">
        <v>5</v>
      </c>
      <c r="F107" s="8" t="n"/>
      <c r="G107" s="8" t="n"/>
      <c r="H107" s="8" t="n"/>
    </row>
    <row r="108" outlineLevel="2">
      <c r="A108" s="9" t="inlineStr">
        <is>
          <t>10.1.1</t>
        </is>
      </c>
      <c r="B108" s="10" t="inlineStr">
        <is>
          <t xml:space="preserve">    Test plan, cases &amp; test data</t>
        </is>
      </c>
      <c r="C108" s="11" t="n">
        <v>3</v>
      </c>
      <c r="D108" s="18" t="inlineStr">
        <is>
          <t>QA Engineer</t>
        </is>
      </c>
      <c r="E108" s="11" t="n">
        <v>5</v>
      </c>
      <c r="F108" s="13" t="inlineStr">
        <is>
          <t>Test cases traced to FR-01…FR-11 and to the user stories, before Sprint 2 build begins</t>
        </is>
      </c>
      <c r="G108" s="11" t="n"/>
      <c r="H108" s="11" t="inlineStr">
        <is>
          <t>QP</t>
        </is>
      </c>
    </row>
    <row r="109" outlineLevel="1">
      <c r="A109" s="7" t="inlineStr">
        <is>
          <t>10.2</t>
        </is>
      </c>
      <c r="B109" s="7" t="inlineStr">
        <is>
          <t xml:space="preserve">  In-Sprint Testing</t>
        </is>
      </c>
      <c r="C109" s="8" t="n">
        <v>2</v>
      </c>
      <c r="D109" s="8" t="n"/>
      <c r="E109" s="7" t="n">
        <v>22</v>
      </c>
      <c r="F109" s="8" t="n"/>
      <c r="G109" s="8" t="n"/>
      <c r="H109" s="8" t="n"/>
    </row>
    <row r="110" outlineLevel="2">
      <c r="A110" s="9" t="inlineStr">
        <is>
          <t>10.2.1</t>
        </is>
      </c>
      <c r="B110" s="10" t="inlineStr">
        <is>
          <t xml:space="preserve">    Sprint 2 in-sprint module testing</t>
        </is>
      </c>
      <c r="C110" s="11" t="n">
        <v>3</v>
      </c>
      <c r="D110" s="18" t="inlineStr">
        <is>
          <t>QA Engineer</t>
        </is>
      </c>
      <c r="E110" s="11" t="n">
        <v>5</v>
      </c>
      <c r="F110" s="13" t="inlineStr">
        <is>
          <t>Every Sprint 2 module tested and defects raised before the Sprint 2 review</t>
        </is>
      </c>
      <c r="G110" s="11" t="n"/>
      <c r="H110" s="11" t="inlineStr">
        <is>
          <t>QT2</t>
        </is>
      </c>
    </row>
    <row r="111" outlineLevel="2">
      <c r="A111" s="9" t="inlineStr">
        <is>
          <t>10.2.2</t>
        </is>
      </c>
      <c r="B111" s="10" t="inlineStr">
        <is>
          <t xml:space="preserve">    Sprint 3 in-sprint module testing</t>
        </is>
      </c>
      <c r="C111" s="11" t="n">
        <v>3</v>
      </c>
      <c r="D111" s="18" t="inlineStr">
        <is>
          <t>QA Engineer</t>
        </is>
      </c>
      <c r="E111" s="11" t="n">
        <v>5</v>
      </c>
      <c r="F111" s="13" t="inlineStr">
        <is>
          <t>Every Sprint 3 module tested and defects raised before the Sprint 3 review</t>
        </is>
      </c>
      <c r="G111" s="11" t="n"/>
      <c r="H111" s="11" t="inlineStr">
        <is>
          <t>QT3</t>
        </is>
      </c>
    </row>
    <row r="112" outlineLevel="2">
      <c r="A112" s="9" t="inlineStr">
        <is>
          <t>10.2.3</t>
        </is>
      </c>
      <c r="B112" s="10" t="inlineStr">
        <is>
          <t xml:space="preserve">    End-to-end testing</t>
        </is>
      </c>
      <c r="C112" s="11" t="n">
        <v>3</v>
      </c>
      <c r="D112" s="18" t="inlineStr">
        <is>
          <t>QA Engineer</t>
        </is>
      </c>
      <c r="E112" s="11" t="n">
        <v>5</v>
      </c>
      <c r="F112" s="13" t="inlineStr">
        <is>
          <t>Full workflow validated: submission → verification → buyer view</t>
        </is>
      </c>
      <c r="G112" s="11" t="n"/>
      <c r="H112" s="11" t="inlineStr">
        <is>
          <t>U</t>
        </is>
      </c>
    </row>
    <row r="113" outlineLevel="2">
      <c r="A113" s="9" t="inlineStr">
        <is>
          <t>10.2.4</t>
        </is>
      </c>
      <c r="B113" s="10" t="inlineStr">
        <is>
          <t xml:space="preserve">    Security testing</t>
        </is>
      </c>
      <c r="C113" s="11" t="n">
        <v>3</v>
      </c>
      <c r="D113" s="18" t="inlineStr">
        <is>
          <t>Security Engineer ×2</t>
        </is>
      </c>
      <c r="E113" s="11" t="n">
        <v>4</v>
      </c>
      <c r="F113" s="13" t="inlineStr">
        <is>
          <t>RBAC, separation of duties and audit integrity verified</t>
        </is>
      </c>
      <c r="G113" s="11" t="n"/>
      <c r="H113" s="11" t="inlineStr">
        <is>
          <t>V</t>
        </is>
      </c>
    </row>
    <row r="114" outlineLevel="2">
      <c r="A114" s="9" t="inlineStr">
        <is>
          <t>10.2.5</t>
        </is>
      </c>
      <c r="B114" s="10" t="inlineStr">
        <is>
          <t xml:space="preserve">    Usability testing</t>
        </is>
      </c>
      <c r="C114" s="11" t="n">
        <v>3</v>
      </c>
      <c r="D114" s="19" t="inlineStr">
        <is>
          <t>Designer ×2</t>
        </is>
      </c>
      <c r="E114" s="11" t="n">
        <v>3</v>
      </c>
      <c r="F114" s="13" t="inlineStr">
        <is>
          <t>Submission completed unaided by a non-technical test user</t>
        </is>
      </c>
      <c r="G114" s="11" t="n"/>
      <c r="H114" s="11" t="inlineStr">
        <is>
          <t>U</t>
        </is>
      </c>
    </row>
    <row r="115" outlineLevel="1">
      <c r="A115" s="7" t="inlineStr">
        <is>
          <t>10.3</t>
        </is>
      </c>
      <c r="B115" s="7" t="inlineStr">
        <is>
          <t xml:space="preserve">  Acceptance Testing — QA &amp; BA</t>
        </is>
      </c>
      <c r="C115" s="8" t="n">
        <v>2</v>
      </c>
      <c r="D115" s="8" t="n"/>
      <c r="E115" s="7" t="n">
        <v>14</v>
      </c>
      <c r="F115" s="8" t="n"/>
      <c r="G115" s="8" t="n"/>
      <c r="H115" s="8" t="n"/>
    </row>
    <row r="116" outlineLevel="2">
      <c r="A116" s="9" t="inlineStr">
        <is>
          <t>10.3.1</t>
        </is>
      </c>
      <c r="B116" s="10" t="inlineStr">
        <is>
          <t xml:space="preserve">    Acceptance test scenarios from user stories</t>
        </is>
      </c>
      <c r="C116" s="11" t="n">
        <v>3</v>
      </c>
      <c r="D116" s="15" t="inlineStr">
        <is>
          <t>Business Analyst</t>
        </is>
      </c>
      <c r="E116" s="11" t="n">
        <v>3</v>
      </c>
      <c r="F116" s="13" t="inlineStr">
        <is>
          <t>Acceptance scenarios written for every user story in the sprint</t>
        </is>
      </c>
      <c r="G116" s="11" t="n"/>
      <c r="H116" s="11" t="inlineStr">
        <is>
          <t>QT2</t>
        </is>
      </c>
    </row>
    <row r="117" outlineLevel="2">
      <c r="A117" s="9" t="inlineStr">
        <is>
          <t>10.3.2</t>
        </is>
      </c>
      <c r="B117" s="10" t="inlineStr">
        <is>
          <t xml:space="preserve">    Sprint 2 acceptance testing (QA + BA)</t>
        </is>
      </c>
      <c r="C117" s="11" t="n">
        <v>3</v>
      </c>
      <c r="D117" s="18" t="inlineStr">
        <is>
          <t>QA Engineer</t>
        </is>
      </c>
      <c r="E117" s="11" t="n">
        <v>4</v>
      </c>
      <c r="F117" s="13" t="inlineStr">
        <is>
          <t>Sprint 2 increment accepted by QA and BA before the Sprint 2 review</t>
        </is>
      </c>
      <c r="G117" s="11" t="n"/>
      <c r="H117" s="11" t="inlineStr">
        <is>
          <t>QT2</t>
        </is>
      </c>
    </row>
    <row r="118" outlineLevel="2">
      <c r="A118" s="9" t="inlineStr">
        <is>
          <t>10.3.3</t>
        </is>
      </c>
      <c r="B118" s="10" t="inlineStr">
        <is>
          <t xml:space="preserve">    Sprint 3 acceptance testing (QA + BA)</t>
        </is>
      </c>
      <c r="C118" s="11" t="n">
        <v>3</v>
      </c>
      <c r="D118" s="18" t="inlineStr">
        <is>
          <t>QA Engineer</t>
        </is>
      </c>
      <c r="E118" s="11" t="n">
        <v>4</v>
      </c>
      <c r="F118" s="13" t="inlineStr">
        <is>
          <t>Sprint 3 increment accepted by QA and BA before the Sprint 3 review</t>
        </is>
      </c>
      <c r="G118" s="11" t="n"/>
      <c r="H118" s="11" t="inlineStr">
        <is>
          <t>QT3</t>
        </is>
      </c>
    </row>
    <row r="119" outlineLevel="2">
      <c r="A119" s="9" t="inlineStr">
        <is>
          <t>10.3.4</t>
        </is>
      </c>
      <c r="B119" s="10" t="inlineStr">
        <is>
          <t xml:space="preserve">    Acceptance sign-off &amp; defect capture</t>
        </is>
      </c>
      <c r="C119" s="11" t="n">
        <v>3</v>
      </c>
      <c r="D119" s="15" t="inlineStr">
        <is>
          <t>Business Analyst</t>
        </is>
      </c>
      <c r="E119" s="11" t="n">
        <v>3</v>
      </c>
      <c r="F119" s="13" t="inlineStr">
        <is>
          <t>Each sprint increment signed off or rejected by the BA, with defects logged</t>
        </is>
      </c>
      <c r="G119" s="11" t="n"/>
      <c r="H119" s="11" t="inlineStr">
        <is>
          <t>QT3</t>
        </is>
      </c>
    </row>
    <row r="120" outlineLevel="1">
      <c r="A120" s="7" t="inlineStr">
        <is>
          <t>10.4</t>
        </is>
      </c>
      <c r="B120" s="7" t="inlineStr">
        <is>
          <t xml:space="preserve">  Defect Management</t>
        </is>
      </c>
      <c r="C120" s="8" t="n">
        <v>2</v>
      </c>
      <c r="D120" s="8" t="n"/>
      <c r="E120" s="7" t="n">
        <v>5</v>
      </c>
      <c r="F120" s="8" t="n"/>
      <c r="G120" s="8" t="n"/>
      <c r="H120" s="8" t="n"/>
    </row>
    <row r="121" outlineLevel="2">
      <c r="A121" s="9" t="inlineStr">
        <is>
          <t>10.4.1</t>
        </is>
      </c>
      <c r="B121" s="10" t="inlineStr">
        <is>
          <t xml:space="preserve">    Triage &amp; remediation verification</t>
        </is>
      </c>
      <c r="C121" s="11" t="n">
        <v>3</v>
      </c>
      <c r="D121" s="18" t="inlineStr">
        <is>
          <t>QA Engineer</t>
        </is>
      </c>
      <c r="E121" s="11" t="n">
        <v>5</v>
      </c>
      <c r="F121" s="13" t="inlineStr">
        <is>
          <t>All critical defects closed before Week 10 deployment</t>
        </is>
      </c>
      <c r="G121" s="11" t="n"/>
      <c r="H121" s="11" t="inlineStr">
        <is>
          <t>W</t>
        </is>
      </c>
    </row>
    <row r="122">
      <c r="A122" s="4" t="inlineStr">
        <is>
          <t>11.0</t>
        </is>
      </c>
      <c r="B122" s="5" t="inlineStr">
        <is>
          <t>Pilot &amp; Deployment</t>
        </is>
      </c>
      <c r="C122" s="6" t="n">
        <v>1</v>
      </c>
      <c r="D122" s="6" t="n"/>
      <c r="E122" s="5" t="n">
        <v>40</v>
      </c>
      <c r="F122" s="6" t="n"/>
      <c r="G122" s="6" t="inlineStr"/>
      <c r="H122" s="6" t="n"/>
    </row>
    <row r="123" outlineLevel="1">
      <c r="A123" s="7" t="inlineStr">
        <is>
          <t>11.1</t>
        </is>
      </c>
      <c r="B123" s="7" t="inlineStr">
        <is>
          <t xml:space="preserve">  Environments</t>
        </is>
      </c>
      <c r="C123" s="8" t="n">
        <v>2</v>
      </c>
      <c r="D123" s="8" t="n"/>
      <c r="E123" s="7" t="n">
        <v>8</v>
      </c>
      <c r="F123" s="8" t="n"/>
      <c r="G123" s="8" t="n"/>
      <c r="H123" s="8" t="n"/>
    </row>
    <row r="124" outlineLevel="2">
      <c r="A124" s="9" t="inlineStr">
        <is>
          <t>11.1.1</t>
        </is>
      </c>
      <c r="B124" s="10" t="inlineStr">
        <is>
          <t xml:space="preserve">    Dev / test provisioning</t>
        </is>
      </c>
      <c r="C124" s="11" t="n">
        <v>3</v>
      </c>
      <c r="D124" s="16" t="inlineStr">
        <is>
          <t>Infrastructure / DevOps</t>
        </is>
      </c>
      <c r="E124" s="11" t="n">
        <v>3</v>
      </c>
      <c r="F124" s="13" t="inlineStr">
        <is>
          <t>Environments available to the team by end of Week 0</t>
        </is>
      </c>
      <c r="G124" s="11" t="n"/>
      <c r="H124" s="11" t="inlineStr">
        <is>
          <t>A</t>
        </is>
      </c>
    </row>
    <row r="125" outlineLevel="2">
      <c r="A125" s="9" t="inlineStr">
        <is>
          <t>11.1.2</t>
        </is>
      </c>
      <c r="B125" s="10" t="inlineStr">
        <is>
          <t xml:space="preserve">    Production provisioning</t>
        </is>
      </c>
      <c r="C125" s="11" t="n">
        <v>3</v>
      </c>
      <c r="D125" s="16" t="inlineStr">
        <is>
          <t>Infrastructure / DevOps</t>
        </is>
      </c>
      <c r="E125" s="11" t="n">
        <v>2</v>
      </c>
      <c r="F125" s="13" t="inlineStr">
        <is>
          <t>Production environment running and deployable before Week 10</t>
        </is>
      </c>
      <c r="G125" s="11" t="n"/>
      <c r="H125" s="11" t="inlineStr">
        <is>
          <t>X</t>
        </is>
      </c>
    </row>
    <row r="126" outlineLevel="2">
      <c r="A126" s="9" t="inlineStr">
        <is>
          <t>11.1.3</t>
        </is>
      </c>
      <c r="B126" s="10" t="inlineStr">
        <is>
          <t xml:space="preserve">    Security hardening</t>
        </is>
      </c>
      <c r="C126" s="11" t="n">
        <v>3</v>
      </c>
      <c r="D126" s="18" t="inlineStr">
        <is>
          <t>Security Engineer ×2</t>
        </is>
      </c>
      <c r="E126" s="11" t="n">
        <v>3</v>
      </c>
      <c r="F126" s="13" t="inlineStr">
        <is>
          <t>Hardening checklist complete and signed off by Security Engineer</t>
        </is>
      </c>
      <c r="G126" s="11" t="n"/>
      <c r="H126" s="11" t="inlineStr">
        <is>
          <t>XS</t>
        </is>
      </c>
    </row>
    <row r="127" outlineLevel="1">
      <c r="A127" s="7" t="inlineStr">
        <is>
          <t>11.2</t>
        </is>
      </c>
      <c r="B127" s="7" t="inlineStr">
        <is>
          <t xml:space="preserve">  Pilot &amp; Test Data</t>
        </is>
      </c>
      <c r="C127" s="8" t="n">
        <v>2</v>
      </c>
      <c r="D127" s="8" t="n"/>
      <c r="E127" s="7" t="n">
        <v>7</v>
      </c>
      <c r="F127" s="8" t="n"/>
      <c r="G127" s="8" t="n"/>
      <c r="H127" s="8" t="n"/>
    </row>
    <row r="128" outlineLevel="2">
      <c r="A128" s="9" t="inlineStr">
        <is>
          <t>11.2.1</t>
        </is>
      </c>
      <c r="B128" s="10" t="inlineStr">
        <is>
          <t xml:space="preserve">    Pilot selection &amp; evidence gathering</t>
        </is>
      </c>
      <c r="C128" s="11" t="n">
        <v>3</v>
      </c>
      <c r="D128" s="12" t="inlineStr">
        <is>
          <t>Project Manager</t>
        </is>
      </c>
      <c r="E128" s="11" t="n">
        <v>2</v>
      </c>
      <c r="F128" s="13" t="inlineStr">
        <is>
          <t>1 pilot project agreed with Sponsor; real evidence obtained</t>
        </is>
      </c>
      <c r="G128" s="11" t="n"/>
      <c r="H128" s="11" t="inlineStr">
        <is>
          <t>RD</t>
        </is>
      </c>
    </row>
    <row r="129" outlineLevel="2">
      <c r="A129" s="9" t="inlineStr">
        <is>
          <t>11.2.2</t>
        </is>
      </c>
      <c r="B129" s="10" t="inlineStr">
        <is>
          <t xml:space="preserve">    Mock &amp; test data set for E2E and UAT</t>
        </is>
      </c>
      <c r="C129" s="11" t="n">
        <v>3</v>
      </c>
      <c r="D129" s="15" t="inlineStr">
        <is>
          <t>Business Analyst</t>
        </is>
      </c>
      <c r="E129" s="11" t="n">
        <v>2</v>
      </c>
      <c r="F129" s="13" t="inlineStr">
        <is>
          <t>Test data set available in the test environment before E2E testing starts</t>
        </is>
      </c>
      <c r="G129" s="11" t="n"/>
      <c r="H129" s="11" t="inlineStr">
        <is>
          <t>RD</t>
        </is>
      </c>
    </row>
    <row r="130" outlineLevel="2">
      <c r="A130" s="9" t="inlineStr">
        <is>
          <t>11.2.3</t>
        </is>
      </c>
      <c r="B130" s="10" t="inlineStr">
        <is>
          <t xml:space="preserve">    Maker-Checker transcription into production</t>
        </is>
      </c>
      <c r="C130" s="11" t="n">
        <v>3</v>
      </c>
      <c r="D130" s="15" t="inlineStr">
        <is>
          <t>Business Analyst</t>
        </is>
      </c>
      <c r="E130" s="11" t="n">
        <v>3</v>
      </c>
      <c r="F130" s="13" t="inlineStr">
        <is>
          <t>Pilot data entered into production and independently checked, after E2E testing and deployment</t>
        </is>
      </c>
      <c r="G130" s="11" t="n"/>
      <c r="H130" s="11" t="inlineStr">
        <is>
          <t>RP</t>
        </is>
      </c>
    </row>
    <row r="131" outlineLevel="1">
      <c r="A131" s="7" t="inlineStr">
        <is>
          <t>11.3</t>
        </is>
      </c>
      <c r="B131" s="7" t="inlineStr">
        <is>
          <t xml:space="preserve">  Deployment</t>
        </is>
      </c>
      <c r="C131" s="8" t="n">
        <v>2</v>
      </c>
      <c r="D131" s="8" t="n"/>
      <c r="E131" s="7" t="n">
        <v>4</v>
      </c>
      <c r="F131" s="8" t="n"/>
      <c r="G131" s="8" t="n"/>
      <c r="H131" s="8" t="n"/>
    </row>
    <row r="132" outlineLevel="2">
      <c r="A132" s="9" t="inlineStr">
        <is>
          <t>11.3.1</t>
        </is>
      </c>
      <c r="B132" s="10" t="inlineStr">
        <is>
          <t xml:space="preserve">    Production deployment</t>
        </is>
      </c>
      <c r="C132" s="11" t="n">
        <v>3</v>
      </c>
      <c r="D132" s="16" t="inlineStr">
        <is>
          <t>Infrastructure / DevOps</t>
        </is>
      </c>
      <c r="E132" s="11" t="n">
        <v>4</v>
      </c>
      <c r="F132" s="13" t="inlineStr">
        <is>
          <t>MVP live in production with rollback plan tested</t>
        </is>
      </c>
      <c r="G132" s="11" t="n"/>
      <c r="H132" s="11" t="inlineStr">
        <is>
          <t>Y</t>
        </is>
      </c>
    </row>
    <row r="133" outlineLevel="1">
      <c r="A133" s="7" t="inlineStr">
        <is>
          <t>11.4</t>
        </is>
      </c>
      <c r="B133" s="7" t="inlineStr">
        <is>
          <t xml:space="preserve">  Board Demonstration</t>
        </is>
      </c>
      <c r="C133" s="8" t="n">
        <v>2</v>
      </c>
      <c r="D133" s="8" t="n"/>
      <c r="E133" s="7" t="n">
        <v>5</v>
      </c>
      <c r="F133" s="8" t="n"/>
      <c r="G133" s="8" t="n"/>
      <c r="H133" s="8" t="n"/>
    </row>
    <row r="134" outlineLevel="2">
      <c r="A134" s="9" t="inlineStr">
        <is>
          <t>11.4.1</t>
        </is>
      </c>
      <c r="B134" s="10" t="inlineStr">
        <is>
          <t xml:space="preserve">    Demo preparation &amp; rehearsal</t>
        </is>
      </c>
      <c r="C134" s="11" t="n">
        <v>3</v>
      </c>
      <c r="D134" s="12" t="inlineStr">
        <is>
          <t>Project Manager</t>
        </is>
      </c>
      <c r="E134" s="11" t="n">
        <v>4</v>
      </c>
      <c r="F134" s="13" t="inlineStr">
        <is>
          <t>Demo script rehearsed end-to-end</t>
        </is>
      </c>
      <c r="G134" s="11" t="n"/>
      <c r="H134" s="11" t="inlineStr">
        <is>
          <t>Z</t>
        </is>
      </c>
    </row>
    <row r="135" outlineLevel="2">
      <c r="A135" s="9" t="inlineStr">
        <is>
          <t>11.4.2</t>
        </is>
      </c>
      <c r="B135" s="10" t="inlineStr">
        <is>
          <t xml:space="preserve">    Board demonstration — Week 11 ◆</t>
        </is>
      </c>
      <c r="C135" s="11" t="n">
        <v>3</v>
      </c>
      <c r="D135" s="12" t="inlineStr">
        <is>
          <t>Project Manager</t>
        </is>
      </c>
      <c r="E135" s="11" t="n">
        <v>1</v>
      </c>
      <c r="F135" s="13" t="inlineStr">
        <is>
          <t>Week 11 milestone achieved; board feedback captured</t>
        </is>
      </c>
      <c r="G135" s="11" t="n"/>
      <c r="H135" s="11" t="inlineStr">
        <is>
          <t>AA</t>
        </is>
      </c>
    </row>
    <row r="136" outlineLevel="1">
      <c r="A136" s="7" t="inlineStr">
        <is>
          <t>11.5</t>
        </is>
      </c>
      <c r="B136" s="7" t="inlineStr">
        <is>
          <t xml:space="preserve">  Working Client Demo</t>
        </is>
      </c>
      <c r="C136" s="8" t="n">
        <v>2</v>
      </c>
      <c r="D136" s="8" t="n"/>
      <c r="E136" s="7" t="n">
        <v>6</v>
      </c>
      <c r="F136" s="8" t="n"/>
      <c r="G136" s="8" t="n"/>
      <c r="H136" s="8" t="n"/>
    </row>
    <row r="137" outlineLevel="2">
      <c r="A137" s="9" t="inlineStr">
        <is>
          <t>11.5.1</t>
        </is>
      </c>
      <c r="B137" s="10" t="inlineStr">
        <is>
          <t xml:space="preserve">    Board feedback remediation</t>
        </is>
      </c>
      <c r="C137" s="11" t="n">
        <v>3</v>
      </c>
      <c r="D137" s="14" t="inlineStr">
        <is>
          <t>Shared — whole team</t>
        </is>
      </c>
      <c r="E137" s="11" t="n">
        <v>5</v>
      </c>
      <c r="F137" s="13" t="inlineStr">
        <is>
          <t>Prioritised board feedback implemented</t>
        </is>
      </c>
      <c r="G137" s="11" t="n"/>
      <c r="H137" s="11" t="inlineStr">
        <is>
          <t>AB</t>
        </is>
      </c>
    </row>
    <row r="138" outlineLevel="2">
      <c r="A138" s="9" t="inlineStr">
        <is>
          <t>11.5.2</t>
        </is>
      </c>
      <c r="B138" s="10" t="inlineStr">
        <is>
          <t xml:space="preserve">    Client demo gate — Week 12 ◆</t>
        </is>
      </c>
      <c r="C138" s="11" t="n">
        <v>3</v>
      </c>
      <c r="D138" s="12" t="inlineStr">
        <is>
          <t>Project Manager</t>
        </is>
      </c>
      <c r="E138" s="11" t="n">
        <v>1</v>
      </c>
      <c r="F138" s="13" t="inlineStr">
        <is>
          <t>Week 12: a working client demo exists. This is the gate the buffer strategy depends on</t>
        </is>
      </c>
      <c r="G138" s="11" t="n"/>
      <c r="H138" s="11" t="inlineStr">
        <is>
          <t>AC</t>
        </is>
      </c>
    </row>
    <row r="139" outlineLevel="1">
      <c r="A139" s="7" t="inlineStr">
        <is>
          <t>11.6</t>
        </is>
      </c>
      <c r="B139" s="7" t="inlineStr">
        <is>
          <t xml:space="preserve">  Project Buffer · Weeks 13–14</t>
        </is>
      </c>
      <c r="C139" s="8" t="n">
        <v>2</v>
      </c>
      <c r="D139" s="8" t="n"/>
      <c r="E139" s="7" t="n">
        <v>10</v>
      </c>
      <c r="F139" s="8" t="n"/>
      <c r="G139" s="8" t="n"/>
      <c r="H139" s="8" t="n"/>
    </row>
    <row r="140" outlineLevel="2">
      <c r="A140" s="9" t="inlineStr">
        <is>
          <t>11.6.1</t>
        </is>
      </c>
      <c r="B140" s="20" t="inlineStr">
        <is>
          <t xml:space="preserve">    Contingent: evidence &amp; hardening</t>
        </is>
      </c>
      <c r="C140" s="11" t="n">
        <v>3</v>
      </c>
      <c r="D140" s="18" t="inlineStr">
        <is>
          <t>Security Engineer ×2</t>
        </is>
      </c>
      <c r="E140" s="11" t="n">
        <v>5</v>
      </c>
      <c r="F140" s="13" t="inlineStr">
        <is>
          <t>Buffer work. Done in Week 13 only if the buffer has not been consumed by upstream delay</t>
        </is>
      </c>
      <c r="G140" s="11" t="n"/>
      <c r="H140" s="11" t="inlineStr">
        <is>
          <t>AE</t>
        </is>
      </c>
    </row>
    <row r="141" outlineLevel="2">
      <c r="A141" s="9" t="inlineStr">
        <is>
          <t>11.6.2</t>
        </is>
      </c>
      <c r="B141" s="20" t="inlineStr">
        <is>
          <t xml:space="preserve">    Deferred out-of-scope change implementation</t>
        </is>
      </c>
      <c r="C141" s="11" t="n">
        <v>3</v>
      </c>
      <c r="D141" s="14" t="inlineStr">
        <is>
          <t>Shared — whole team</t>
        </is>
      </c>
      <c r="E141" s="11" t="n">
        <v>4</v>
      </c>
      <c r="F141" s="13" t="inlineStr">
        <is>
          <t>Accepted out-of-scope changes implemented in Weeks 13–14, or formally deferred to Phase 2</t>
        </is>
      </c>
      <c r="G141" s="11" t="n"/>
      <c r="H141" s="11" t="inlineStr">
        <is>
          <t>AS</t>
        </is>
      </c>
    </row>
    <row r="142" outlineLevel="2">
      <c r="A142" s="9" t="inlineStr">
        <is>
          <t>11.6.3</t>
        </is>
      </c>
      <c r="B142" s="10" t="inlineStr">
        <is>
          <t xml:space="preserve">    Major Buyer Review — Week 14 ◆</t>
        </is>
      </c>
      <c r="C142" s="11" t="n">
        <v>3</v>
      </c>
      <c r="D142" s="12" t="inlineStr">
        <is>
          <t>Project Manager</t>
        </is>
      </c>
      <c r="E142" s="11" t="n">
        <v>1</v>
      </c>
      <c r="F142" s="13" t="inlineStr">
        <is>
          <t>Week 14 milestone achieved; buyer traces origin → evidence → verification → credit → audit</t>
        </is>
      </c>
      <c r="G142" s="11" t="n"/>
      <c r="H142" s="11" t="inlineStr">
        <is>
          <t>AF</t>
        </is>
      </c>
    </row>
    <row r="143">
      <c r="B143" s="21" t="inlineStr">
        <is>
          <t>TOTAL</t>
        </is>
      </c>
      <c r="E143" s="22">
        <f>SUMIF(C6:C142,3,E6:E142)</f>
        <v/>
      </c>
      <c r="F143" s="23" t="inlineStr">
        <is>
          <t>Sum of level-3 work packages only — the 100% rule check.</t>
        </is>
      </c>
    </row>
    <row r="145">
      <c r="B145" s="21" t="inlineStr">
        <is>
          <t>Deferred items</t>
        </is>
      </c>
    </row>
    <row r="146">
      <c r="B146" t="inlineStr">
        <is>
          <t>6.0 Satellite Monitoring (FR-05, 21 pd) and 9.4.1 Inter-registry flagging hook (FR-11, 3 pd) are designed but not built this term. They stay in the WBS for traceability to the charter, carry 0 pd, and are not scheduled on the Gantt chart.</t>
        </is>
      </c>
    </row>
  </sheetData>
  <autoFilter ref="A5:H1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12" customWidth="1" min="3" max="3"/>
    <col width="15" customWidth="1" min="4" max="4"/>
    <col width="10" customWidth="1" min="5" max="5"/>
    <col width="12" customWidth="1" min="6" max="6"/>
  </cols>
  <sheetData>
    <row r="1">
      <c r="A1" s="24" t="inlineStr">
        <is>
          <t>Resource loading — against the 65-day delivery window, Weeks 0–12</t>
        </is>
      </c>
    </row>
    <row r="3">
      <c r="A3" s="25" t="inlineStr">
        <is>
          <t>Role</t>
        </is>
      </c>
      <c r="B3" s="25" t="inlineStr">
        <is>
          <t>People</t>
        </is>
      </c>
      <c r="C3" s="25" t="inlineStr">
        <is>
          <t>Effort (pd)</t>
        </is>
      </c>
      <c r="D3" s="25" t="inlineStr">
        <is>
          <t>Capacity (pd)</t>
        </is>
      </c>
      <c r="E3" s="25" t="inlineStr">
        <is>
          <t>Load %</t>
        </is>
      </c>
      <c r="F3" s="25" t="inlineStr">
        <is>
          <t>Flag</t>
        </is>
      </c>
    </row>
    <row r="4">
      <c r="A4" s="26" t="inlineStr">
        <is>
          <t>Project Manager</t>
        </is>
      </c>
      <c r="B4" s="11" t="n">
        <v>1</v>
      </c>
      <c r="C4" s="11" t="n">
        <v>46</v>
      </c>
      <c r="D4" s="11" t="n">
        <v>65</v>
      </c>
      <c r="E4" s="27">
        <f>C4/D4</f>
        <v/>
      </c>
      <c r="F4" s="28">
        <f>IF(E4&gt;0.85,"OVER 85%","")</f>
        <v/>
      </c>
    </row>
    <row r="5">
      <c r="A5" s="29" t="inlineStr">
        <is>
          <t>Business Analyst</t>
        </is>
      </c>
      <c r="B5" s="11" t="n">
        <v>1</v>
      </c>
      <c r="C5" s="11" t="n">
        <v>35</v>
      </c>
      <c r="D5" s="11" t="n">
        <v>65</v>
      </c>
      <c r="E5" s="27">
        <f>C5/D5</f>
        <v/>
      </c>
      <c r="F5" s="28">
        <f>IF(E5&gt;0.85,"OVER 85%","")</f>
        <v/>
      </c>
    </row>
    <row r="6">
      <c r="A6" s="30" t="inlineStr">
        <is>
          <t>Designers ×2</t>
        </is>
      </c>
      <c r="B6" s="11" t="n">
        <v>2</v>
      </c>
      <c r="C6" s="11" t="n">
        <v>43</v>
      </c>
      <c r="D6" s="11" t="n">
        <v>130</v>
      </c>
      <c r="E6" s="27">
        <f>C6/D6</f>
        <v/>
      </c>
      <c r="F6" s="28">
        <f>IF(E6&gt;0.85,"OVER 85%","")</f>
        <v/>
      </c>
    </row>
    <row r="7">
      <c r="A7" s="31" t="inlineStr">
        <is>
          <t>Full-stack Developers ×4</t>
        </is>
      </c>
      <c r="B7" s="11" t="n">
        <v>4</v>
      </c>
      <c r="C7" s="11" t="n">
        <v>75</v>
      </c>
      <c r="D7" s="11" t="n">
        <v>260</v>
      </c>
      <c r="E7" s="27">
        <f>C7/D7</f>
        <v/>
      </c>
      <c r="F7" s="28">
        <f>IF(E7&gt;0.85,"OVER 85%","")</f>
        <v/>
      </c>
    </row>
    <row r="8">
      <c r="A8" s="32" t="inlineStr">
        <is>
          <t>Security Engineers ×2</t>
        </is>
      </c>
      <c r="B8" s="11" t="n">
        <v>2</v>
      </c>
      <c r="C8" s="11" t="n">
        <v>44</v>
      </c>
      <c r="D8" s="11" t="n">
        <v>130</v>
      </c>
      <c r="E8" s="27">
        <f>C8/D8</f>
        <v/>
      </c>
      <c r="F8" s="28">
        <f>IF(E8&gt;0.85,"OVER 85%","")</f>
        <v/>
      </c>
    </row>
    <row r="9">
      <c r="A9" s="32" t="inlineStr">
        <is>
          <t>QA Engineer</t>
        </is>
      </c>
      <c r="B9" s="11" t="n">
        <v>1</v>
      </c>
      <c r="C9" s="11" t="n">
        <v>34</v>
      </c>
      <c r="D9" s="11" t="n">
        <v>65</v>
      </c>
      <c r="E9" s="27">
        <f>C9/D9</f>
        <v/>
      </c>
      <c r="F9" s="28">
        <f>IF(E9&gt;0.85,"OVER 85%","")</f>
        <v/>
      </c>
    </row>
    <row r="10">
      <c r="A10" s="33" t="inlineStr">
        <is>
          <t>Infrastructure / DevOps</t>
        </is>
      </c>
      <c r="B10" s="11" t="n">
        <v>1</v>
      </c>
      <c r="C10" s="11" t="n">
        <v>24</v>
      </c>
      <c r="D10" s="11" t="n">
        <v>65</v>
      </c>
      <c r="E10" s="27">
        <f>C10/D10</f>
        <v/>
      </c>
      <c r="F10" s="28">
        <f>IF(E10&gt;0.85,"OVER 85%","")</f>
        <v/>
      </c>
    </row>
    <row r="11">
      <c r="A11" s="34" t="inlineStr">
        <is>
          <t>Team total</t>
        </is>
      </c>
      <c r="B11" s="35">
        <f>SUM(B4:B10)</f>
        <v/>
      </c>
      <c r="C11" s="35">
        <f>SUM(C4:C10)</f>
        <v/>
      </c>
      <c r="D11" s="35">
        <f>SUM(D4:D10)</f>
        <v/>
      </c>
      <c r="E11" s="36">
        <f>C11/D11</f>
        <v/>
      </c>
    </row>
    <row r="13">
      <c r="A13" s="37" t="inlineStr">
        <is>
          <t>Capacity = 65 working days (Weeks 0–12). Weeks 13–14 are project buffer and are deliberately not counted as capacity.</t>
        </is>
      </c>
    </row>
    <row r="14">
      <c r="A14" s="37" t="inlineStr">
        <is>
          <t>These are averages across the whole window. A week-by-week check drove the team sizing: Sprint 3 needed 4.7 developers in the full plan; deferring satellite monitoring removes 9 developer-days from it.</t>
        </is>
      </c>
    </row>
    <row r="15">
      <c r="A15" s="37" t="inlineStr">
        <is>
          <t>The Business Analyst is heavily loaded Weeks 0–3 for requirements, then drops to change-request analysis.</t>
        </is>
      </c>
    </row>
    <row r="16">
      <c r="A16" s="37" t="inlineStr">
        <is>
          <t>Every role fits every week after re-levelling; the residual peak is the PM in Week 3 at 105%.</t>
        </is>
      </c>
    </row>
    <row r="17">
      <c r="A17" s="37" t="inlineStr">
        <is>
          <t>Satellite monitoring (WBS 6.0, 21 pd) and the inter-registry hook (WBS 9.4.1, 3 pd) are deferred — designed, not built this term — and are excluded: Full-stack −12, Infrastructure/DevOps −9, Designers −3. Total 325 → 301 pd.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2026-09-20T06:37:56Z</dcterms:created>
  <dcterms:modified xsi:type="dcterms:W3CDTF">2026-10-23T14:44:12Z</dcterms:modified>
</cp:coreProperties>
</file>